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NISHA\OneDrive\Desktop\"/>
    </mc:Choice>
  </mc:AlternateContent>
  <xr:revisionPtr revIDLastSave="0" documentId="8_{9E24A997-6CD4-46D7-8B53-BD21F28E821B}" xr6:coauthVersionLast="47" xr6:coauthVersionMax="47" xr10:uidLastSave="{00000000-0000-0000-0000-000000000000}"/>
  <bookViews>
    <workbookView xWindow="-120" yWindow="-120" windowWidth="20730" windowHeight="11040" activeTab="2" xr2:uid="{C8574D2E-0C14-4AC8-95EF-1FEEC0EF85E0}"/>
  </bookViews>
  <sheets>
    <sheet name="fact_player" sheetId="6" r:id="rId1"/>
    <sheet name="Team_Summary" sheetId="13" r:id="rId2"/>
    <sheet name="Plater_Summary" sheetId="27" r:id="rId3"/>
    <sheet name="Player Performance Dashborad " sheetId="28" r:id="rId4"/>
    <sheet name="Team Performance Dashborad" sheetId="18" r:id="rId5"/>
    <sheet name="fact_match" sheetId="5" r:id="rId6"/>
    <sheet name="dim_venue" sheetId="4" r:id="rId7"/>
    <sheet name="dim_team" sheetId="3" r:id="rId8"/>
    <sheet name="dim_player" sheetId="2" r:id="rId9"/>
  </sheets>
  <definedNames>
    <definedName name="_xlcn.WorksheetConnection_Book1dim_player1" hidden="1">dim_player[]</definedName>
    <definedName name="_xlcn.WorksheetConnection_Book1dim_team1" hidden="1">dim_team[]</definedName>
    <definedName name="_xlcn.WorksheetConnection_Book1dim_venue1" hidden="1">dim_venue[]</definedName>
    <definedName name="_xlcn.WorksheetConnection_Book1fact_match1" hidden="1">fact_match[]</definedName>
    <definedName name="_xlcn.WorksheetConnection_Book1fact_player1" hidden="1">fact_player[]</definedName>
    <definedName name="ExternalData_1" localSheetId="8" hidden="1">dim_player!$A$1:$H$34</definedName>
    <definedName name="ExternalData_2" localSheetId="7" hidden="1">dim_team!$A$1:$G$9</definedName>
    <definedName name="ExternalData_3" localSheetId="6" hidden="1">dim_venue!$A$1:$D$11</definedName>
    <definedName name="ExternalData_4" localSheetId="5" hidden="1">fact_match!$A$1:$N$61</definedName>
    <definedName name="ExternalData_5" localSheetId="0" hidden="1">fact_player!$A$1:$K$202</definedName>
    <definedName name="Slicer_Team_Name">#N/A</definedName>
    <definedName name="Slicer_Venue_Name">#N/A</definedName>
  </definedNames>
  <calcPr calcId="191029"/>
  <pivotCaches>
    <pivotCache cacheId="664" r:id="rId10"/>
    <pivotCache cacheId="667" r:id="rId11"/>
    <pivotCache cacheId="670" r:id="rId12"/>
    <pivotCache cacheId="673" r:id="rId13"/>
    <pivotCache cacheId="676" r:id="rId14"/>
    <pivotCache cacheId="763" r:id="rId15"/>
    <pivotCache cacheId="786" r:id="rId16"/>
    <pivotCache cacheId="805" r:id="rId17"/>
    <pivotCache cacheId="827" r:id="rId18"/>
  </pivotCaches>
  <extLst>
    <ext xmlns:x14="http://schemas.microsoft.com/office/spreadsheetml/2009/9/main" uri="{876F7934-8845-4945-9796-88D515C7AA90}">
      <x14:pivotCaches>
        <pivotCache cacheId="489"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player" name="fact_player" connection="WorksheetConnection_Book1!fact_player"/>
          <x15:modelTable id="fact_match" name="fact_match" connection="WorksheetConnection_Book1!fact_match"/>
          <x15:modelTable id="dim_venue" name="dim_venue" connection="WorksheetConnection_Book1!dim_venue"/>
          <x15:modelTable id="dim_team" name="dim_team" connection="WorksheetConnection_Book1!dim_team"/>
          <x15:modelTable id="dim_player" name="dim_player" connection="WorksheetConnection_Book1!dim_player"/>
        </x15:modelTables>
        <x15:modelRelationships>
          <x15:modelRelationship fromTable="fact_player" fromColumn="Player_ID" toTable="dim_player" toColumn="Player_ID"/>
          <x15:modelRelationship fromTable="fact_player" fromColumn="Match_ID" toTable="fact_match" toColumn="Match_ID"/>
          <x15:modelRelationship fromTable="fact_match" fromColumn="Team1_ID" toTable="dim_team" toColumn="Team_ID"/>
          <x15:modelRelationship fromTable="fact_match" fromColumn="Venue_ID" toTable="dim_venue" toColumn="Venu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 i="18" l="1"/>
  <c r="X5" i="18"/>
  <c r="R5" i="18"/>
  <c r="F5"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44E24D-D0BE-4316-ACC8-EF41CE0DE9D9}" keepAlive="1" name="Query - dim_player" description="Connection to the 'dim_player' query in the workbook." type="5" refreshedVersion="8" background="1" saveData="1">
    <dbPr connection="Provider=Microsoft.Mashup.OleDb.1;Data Source=$Workbook$;Location=dim_player;Extended Properties=&quot;&quot;" command="SELECT * FROM [dim_player]"/>
  </connection>
  <connection id="2" xr16:uid="{4CD8F8A0-65AC-4928-8134-2D0E58BFEA61}" keepAlive="1" name="Query - dim_team" description="Connection to the 'dim_team' query in the workbook." type="5" refreshedVersion="8" background="1" saveData="1">
    <dbPr connection="Provider=Microsoft.Mashup.OleDb.1;Data Source=$Workbook$;Location=dim_team;Extended Properties=&quot;&quot;" command="SELECT * FROM [dim_team]"/>
  </connection>
  <connection id="3" xr16:uid="{8E26A813-1FFA-4E44-BE87-14701B0A60DE}" keepAlive="1" name="Query - dim_venue" description="Connection to the 'dim_venue' query in the workbook." type="5" refreshedVersion="8" background="1" saveData="1">
    <dbPr connection="Provider=Microsoft.Mashup.OleDb.1;Data Source=$Workbook$;Location=dim_venue;Extended Properties=&quot;&quot;" command="SELECT * FROM [dim_venue]"/>
  </connection>
  <connection id="4" xr16:uid="{DE362532-AEAD-4E95-9323-514AF3ABA527}" keepAlive="1" name="Query - fact_match" description="Connection to the 'fact_match' query in the workbook." type="5" refreshedVersion="8" background="1" saveData="1">
    <dbPr connection="Provider=Microsoft.Mashup.OleDb.1;Data Source=$Workbook$;Location=fact_match;Extended Properties=&quot;&quot;" command="SELECT * FROM [fact_match]"/>
  </connection>
  <connection id="5" xr16:uid="{870F82AB-BD67-4FD3-BD14-4E6ABC12A6DE}" keepAlive="1" name="Query - fact_player" description="Connection to the 'fact_player' query in the workbook." type="5" refreshedVersion="8" background="1" saveData="1">
    <dbPr connection="Provider=Microsoft.Mashup.OleDb.1;Data Source=$Workbook$;Location=fact_player;Extended Properties=&quot;&quot;" command="SELECT * FROM [fact_player]"/>
  </connection>
  <connection id="6" xr16:uid="{21D85621-CC8D-47A6-A3BE-13B2CE2964A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E0792CE5-9CA8-4A74-A918-77679AB88E95}" name="WorksheetConnection_Book1!dim_player" type="102" refreshedVersion="8" minRefreshableVersion="5">
    <extLst>
      <ext xmlns:x15="http://schemas.microsoft.com/office/spreadsheetml/2010/11/main" uri="{DE250136-89BD-433C-8126-D09CA5730AF9}">
        <x15:connection id="dim_player">
          <x15:rangePr sourceName="_xlcn.WorksheetConnection_Book1dim_player1"/>
        </x15:connection>
      </ext>
    </extLst>
  </connection>
  <connection id="8" xr16:uid="{EF60CC32-1E09-404B-B0A6-2028D346ECE8}" name="WorksheetConnection_Book1!dim_team" type="102" refreshedVersion="8" minRefreshableVersion="5">
    <extLst>
      <ext xmlns:x15="http://schemas.microsoft.com/office/spreadsheetml/2010/11/main" uri="{DE250136-89BD-433C-8126-D09CA5730AF9}">
        <x15:connection id="dim_team">
          <x15:rangePr sourceName="_xlcn.WorksheetConnection_Book1dim_team1"/>
        </x15:connection>
      </ext>
    </extLst>
  </connection>
  <connection id="9" xr16:uid="{33A47E6A-28C8-484F-A3B2-F7F14BB1C852}" name="WorksheetConnection_Book1!dim_venue" type="102" refreshedVersion="8" minRefreshableVersion="5">
    <extLst>
      <ext xmlns:x15="http://schemas.microsoft.com/office/spreadsheetml/2010/11/main" uri="{DE250136-89BD-433C-8126-D09CA5730AF9}">
        <x15:connection id="dim_venue">
          <x15:rangePr sourceName="_xlcn.WorksheetConnection_Book1dim_venue1"/>
        </x15:connection>
      </ext>
    </extLst>
  </connection>
  <connection id="10" xr16:uid="{56DCDE9A-3C63-420B-A5A0-3B8B2F5111F9}" name="WorksheetConnection_Book1!fact_match" type="102" refreshedVersion="8" minRefreshableVersion="5">
    <extLst>
      <ext xmlns:x15="http://schemas.microsoft.com/office/spreadsheetml/2010/11/main" uri="{DE250136-89BD-433C-8126-D09CA5730AF9}">
        <x15:connection id="fact_match">
          <x15:rangePr sourceName="_xlcn.WorksheetConnection_Book1fact_match1"/>
        </x15:connection>
      </ext>
    </extLst>
  </connection>
  <connection id="11" xr16:uid="{5F02127E-27A8-455E-8202-14FBBF65E729}" name="WorksheetConnection_Book1!fact_player" type="102" refreshedVersion="8" minRefreshableVersion="5">
    <extLst>
      <ext xmlns:x15="http://schemas.microsoft.com/office/spreadsheetml/2010/11/main" uri="{DE250136-89BD-433C-8126-D09CA5730AF9}">
        <x15:connection id="fact_player">
          <x15:rangePr sourceName="_xlcn.WorksheetConnection_Book1fact_player1"/>
        </x15:connection>
      </ext>
    </extLst>
  </connection>
</connections>
</file>

<file path=xl/sharedStrings.xml><?xml version="1.0" encoding="utf-8"?>
<sst xmlns="http://schemas.openxmlformats.org/spreadsheetml/2006/main" count="3698" uniqueCount="595">
  <si>
    <t>Player_ID</t>
  </si>
  <si>
    <t>Player_Name</t>
  </si>
  <si>
    <t>Team_ID</t>
  </si>
  <si>
    <t>Role</t>
  </si>
  <si>
    <t>Nationality</t>
  </si>
  <si>
    <t>Age</t>
  </si>
  <si>
    <t>Batting_Style</t>
  </si>
  <si>
    <t>Bowling_Style</t>
  </si>
  <si>
    <t>P001</t>
  </si>
  <si>
    <t>Suryakumar Yadav</t>
  </si>
  <si>
    <t>T01</t>
  </si>
  <si>
    <t>Batsman</t>
  </si>
  <si>
    <t>Indian</t>
  </si>
  <si>
    <t>33</t>
  </si>
  <si>
    <t>Right-hand Bat</t>
  </si>
  <si>
    <t>Off-break</t>
  </si>
  <si>
    <t>P002</t>
  </si>
  <si>
    <t>Jasprit Bumrah</t>
  </si>
  <si>
    <t>Bowler</t>
  </si>
  <si>
    <t>31</t>
  </si>
  <si>
    <t>Right-arm Fast</t>
  </si>
  <si>
    <t>P003</t>
  </si>
  <si>
    <t>Ishan Kishan</t>
  </si>
  <si>
    <t>Wicketkeeper</t>
  </si>
  <si>
    <t>26</t>
  </si>
  <si>
    <t>Left-hand Bat</t>
  </si>
  <si>
    <t>None</t>
  </si>
  <si>
    <t>P004</t>
  </si>
  <si>
    <t>Tilak Varma</t>
  </si>
  <si>
    <t>All-Rounder</t>
  </si>
  <si>
    <t>22</t>
  </si>
  <si>
    <t>P005</t>
  </si>
  <si>
    <t>Hardik Pandya</t>
  </si>
  <si>
    <t>Right-arm Medium</t>
  </si>
  <si>
    <t>P006</t>
  </si>
  <si>
    <t>Shivam Dube</t>
  </si>
  <si>
    <t>T02</t>
  </si>
  <si>
    <t>P007</t>
  </si>
  <si>
    <t>Deepak Chahar</t>
  </si>
  <si>
    <t>32</t>
  </si>
  <si>
    <t>Right-arm Medium-Fast</t>
  </si>
  <si>
    <t>P008</t>
  </si>
  <si>
    <t>Daryl Mitchell</t>
  </si>
  <si>
    <t>New Zealander</t>
  </si>
  <si>
    <t>P009</t>
  </si>
  <si>
    <t>Matheesha Pathirana</t>
  </si>
  <si>
    <t>Sri Lankan</t>
  </si>
  <si>
    <t>P010</t>
  </si>
  <si>
    <t>Virat Kohli</t>
  </si>
  <si>
    <t>T03</t>
  </si>
  <si>
    <t>36</t>
  </si>
  <si>
    <t>P011</t>
  </si>
  <si>
    <t>Mohammed Siraj</t>
  </si>
  <si>
    <t>P012</t>
  </si>
  <si>
    <t>Glenn Maxwell</t>
  </si>
  <si>
    <t>Australian</t>
  </si>
  <si>
    <t>P013</t>
  </si>
  <si>
    <t>Dinesh Karthik</t>
  </si>
  <si>
    <t>39</t>
  </si>
  <si>
    <t>P014</t>
  </si>
  <si>
    <t>Rinku Singh</t>
  </si>
  <si>
    <t>T04</t>
  </si>
  <si>
    <t>27</t>
  </si>
  <si>
    <t>P015</t>
  </si>
  <si>
    <t>Andre Russell</t>
  </si>
  <si>
    <t>West Indian</t>
  </si>
  <si>
    <t>P016</t>
  </si>
  <si>
    <t>Sunil Narine</t>
  </si>
  <si>
    <t>P017</t>
  </si>
  <si>
    <t>Varun Chakravarthy</t>
  </si>
  <si>
    <t>Leg-break</t>
  </si>
  <si>
    <t>P018</t>
  </si>
  <si>
    <t>David Warner</t>
  </si>
  <si>
    <t>T05</t>
  </si>
  <si>
    <t>38</t>
  </si>
  <si>
    <t>P019</t>
  </si>
  <si>
    <t>Kuldeep Yadav</t>
  </si>
  <si>
    <t>30</t>
  </si>
  <si>
    <t>Left-arm Chinaman</t>
  </si>
  <si>
    <t>P020</t>
  </si>
  <si>
    <t>Mitchell Marsh</t>
  </si>
  <si>
    <t>P021</t>
  </si>
  <si>
    <t>Axar Patel</t>
  </si>
  <si>
    <t>Left-arm Off-break</t>
  </si>
  <si>
    <t>P022</t>
  </si>
  <si>
    <t>Jos Buttler</t>
  </si>
  <si>
    <t>T06</t>
  </si>
  <si>
    <t>English</t>
  </si>
  <si>
    <t>34</t>
  </si>
  <si>
    <t>P023</t>
  </si>
  <si>
    <t>Yuzvendra Chahal</t>
  </si>
  <si>
    <t>P024</t>
  </si>
  <si>
    <t>Trent Boult</t>
  </si>
  <si>
    <t>35</t>
  </si>
  <si>
    <t>Left-arm Fast-Medium</t>
  </si>
  <si>
    <t>P025</t>
  </si>
  <si>
    <t>Yashasvi Jaiswal</t>
  </si>
  <si>
    <t>23</t>
  </si>
  <si>
    <t>P026</t>
  </si>
  <si>
    <t>Liam Livingstone</t>
  </si>
  <si>
    <t>T07</t>
  </si>
  <si>
    <t>P027</t>
  </si>
  <si>
    <t>Arshdeep Singh</t>
  </si>
  <si>
    <t>25</t>
  </si>
  <si>
    <t>Left-arm Medium-Fast</t>
  </si>
  <si>
    <t>P028</t>
  </si>
  <si>
    <t>Jitesh Sharma</t>
  </si>
  <si>
    <t>P029</t>
  </si>
  <si>
    <t>Kagiso Rabada</t>
  </si>
  <si>
    <t>South African</t>
  </si>
  <si>
    <t>29</t>
  </si>
  <si>
    <t>P030</t>
  </si>
  <si>
    <t>Abhishek Sharma</t>
  </si>
  <si>
    <t>T08</t>
  </si>
  <si>
    <t>24</t>
  </si>
  <si>
    <t>P031</t>
  </si>
  <si>
    <t>Bhuvneshwar Kumar</t>
  </si>
  <si>
    <t>P032</t>
  </si>
  <si>
    <t>Heinrich Klaasen</t>
  </si>
  <si>
    <t>P033</t>
  </si>
  <si>
    <t>Travis Head</t>
  </si>
  <si>
    <t>Team_Name</t>
  </si>
  <si>
    <t>Captain</t>
  </si>
  <si>
    <t>Coach</t>
  </si>
  <si>
    <t>Home_Ground</t>
  </si>
  <si>
    <t>City</t>
  </si>
  <si>
    <t>Owner</t>
  </si>
  <si>
    <t>Mumbai Indians (MI)</t>
  </si>
  <si>
    <t>Rohit Sharma</t>
  </si>
  <si>
    <t>Mark Boucher</t>
  </si>
  <si>
    <t>Wankhede Stadium</t>
  </si>
  <si>
    <t>Mumbai</t>
  </si>
  <si>
    <t>Reliance Industries</t>
  </si>
  <si>
    <t>Chennai Super Kings (CSK)</t>
  </si>
  <si>
    <t>Ruturaj Gaikwad</t>
  </si>
  <si>
    <t>Stephen Fleming</t>
  </si>
  <si>
    <t>M. A. Chidambaram Stadium</t>
  </si>
  <si>
    <t>Chennai</t>
  </si>
  <si>
    <t>India Cements</t>
  </si>
  <si>
    <t>Royal Challengers Bengaluru (RCB)</t>
  </si>
  <si>
    <t>Faf du Plessis</t>
  </si>
  <si>
    <t>Andy Flower</t>
  </si>
  <si>
    <t>M. Chinnaswamy Stadium</t>
  </si>
  <si>
    <t>Bengaluru</t>
  </si>
  <si>
    <t>United Spirits</t>
  </si>
  <si>
    <t>Kolkata Knight Riders (KKR)</t>
  </si>
  <si>
    <t>Shreyas Iyer</t>
  </si>
  <si>
    <t>Chandrakant Pandit</t>
  </si>
  <si>
    <t>Eden Gardens</t>
  </si>
  <si>
    <t>Kolkata</t>
  </si>
  <si>
    <t>Shah Rukh Khan</t>
  </si>
  <si>
    <t>Delhi Capitals (DC)</t>
  </si>
  <si>
    <t>Rishabh Pant</t>
  </si>
  <si>
    <t>Ricky Ponting</t>
  </si>
  <si>
    <t>Arun Jaitley Stadium</t>
  </si>
  <si>
    <t>Delhi</t>
  </si>
  <si>
    <t>JSW Group</t>
  </si>
  <si>
    <t>Rajasthan Royals (RR)</t>
  </si>
  <si>
    <t>Sanju Samson</t>
  </si>
  <si>
    <t>Kumar Sangakkara</t>
  </si>
  <si>
    <t>Sawai Mansingh Stadium</t>
  </si>
  <si>
    <t>Jaipur</t>
  </si>
  <si>
    <t>Manoj Badale</t>
  </si>
  <si>
    <t>Punjab Kings (PBKS)</t>
  </si>
  <si>
    <t>Shikhar Dhawan</t>
  </si>
  <si>
    <t>Trevor Bayliss</t>
  </si>
  <si>
    <t>Maharaja Yadavindra Singh Int. Cricket Stadium</t>
  </si>
  <si>
    <t>Mohali</t>
  </si>
  <si>
    <t>Preity Zinta</t>
  </si>
  <si>
    <t>Sunrisers Hyderabad (SRH)</t>
  </si>
  <si>
    <t>Pat Cummins</t>
  </si>
  <si>
    <t>Daniel Vettori</t>
  </si>
  <si>
    <t>Rajiv Gandhi Int. Stadium</t>
  </si>
  <si>
    <t>Hyderabad</t>
  </si>
  <si>
    <t>Sun TV Network</t>
  </si>
  <si>
    <t>Venue_ID</t>
  </si>
  <si>
    <t>Venue_Name</t>
  </si>
  <si>
    <t>Capacity</t>
  </si>
  <si>
    <t>V01</t>
  </si>
  <si>
    <t>33108</t>
  </si>
  <si>
    <t>V02</t>
  </si>
  <si>
    <t>38000</t>
  </si>
  <si>
    <t>V03</t>
  </si>
  <si>
    <t>42000</t>
  </si>
  <si>
    <t>V04</t>
  </si>
  <si>
    <t>68000</t>
  </si>
  <si>
    <t>V05</t>
  </si>
  <si>
    <t>41820</t>
  </si>
  <si>
    <t>V06</t>
  </si>
  <si>
    <t>30000</t>
  </si>
  <si>
    <t>V07</t>
  </si>
  <si>
    <t>V08</t>
  </si>
  <si>
    <t>39200</t>
  </si>
  <si>
    <t>V09</t>
  </si>
  <si>
    <t>Narendra Modi Stadium</t>
  </si>
  <si>
    <t>Ahmedabad</t>
  </si>
  <si>
    <t>132000</t>
  </si>
  <si>
    <t>V10</t>
  </si>
  <si>
    <t>Bharat Ratna Shri Atal Bihari Vajpayee Ekana Cricket Stadium</t>
  </si>
  <si>
    <t>Lucknow</t>
  </si>
  <si>
    <t>50000</t>
  </si>
  <si>
    <t>Match_ID</t>
  </si>
  <si>
    <t>Runs</t>
  </si>
  <si>
    <t>Balls_Faced</t>
  </si>
  <si>
    <t>Fours</t>
  </si>
  <si>
    <t>Sixes</t>
  </si>
  <si>
    <t>Strike_Rate</t>
  </si>
  <si>
    <t>Overs_Bowled</t>
  </si>
  <si>
    <t>Runs_Conceded</t>
  </si>
  <si>
    <t>Wickets</t>
  </si>
  <si>
    <t>Economy</t>
  </si>
  <si>
    <t>M001</t>
  </si>
  <si>
    <t>M002</t>
  </si>
  <si>
    <t>M003</t>
  </si>
  <si>
    <t>M004</t>
  </si>
  <si>
    <t>M005</t>
  </si>
  <si>
    <t>M006</t>
  </si>
  <si>
    <t>M007</t>
  </si>
  <si>
    <t>M008</t>
  </si>
  <si>
    <t>M009</t>
  </si>
  <si>
    <t>M010</t>
  </si>
  <si>
    <t>M011</t>
  </si>
  <si>
    <t>M012</t>
  </si>
  <si>
    <t>M013</t>
  </si>
  <si>
    <t>M014</t>
  </si>
  <si>
    <t>M015</t>
  </si>
  <si>
    <t>M016</t>
  </si>
  <si>
    <t>M017</t>
  </si>
  <si>
    <t>M018</t>
  </si>
  <si>
    <t>M019</t>
  </si>
  <si>
    <t>M020</t>
  </si>
  <si>
    <t>M021</t>
  </si>
  <si>
    <t>M022</t>
  </si>
  <si>
    <t>M023</t>
  </si>
  <si>
    <t>M024</t>
  </si>
  <si>
    <t>M025</t>
  </si>
  <si>
    <t>M026</t>
  </si>
  <si>
    <t>M027</t>
  </si>
  <si>
    <t>M028</t>
  </si>
  <si>
    <t>M029</t>
  </si>
  <si>
    <t>M030</t>
  </si>
  <si>
    <t>M031</t>
  </si>
  <si>
    <t>M032</t>
  </si>
  <si>
    <t>M033</t>
  </si>
  <si>
    <t>M034</t>
  </si>
  <si>
    <t>M035</t>
  </si>
  <si>
    <t>M036</t>
  </si>
  <si>
    <t>M037</t>
  </si>
  <si>
    <t>M038</t>
  </si>
  <si>
    <t>M039</t>
  </si>
  <si>
    <t>M040</t>
  </si>
  <si>
    <t>M041</t>
  </si>
  <si>
    <t>M042</t>
  </si>
  <si>
    <t>M043</t>
  </si>
  <si>
    <t>M044</t>
  </si>
  <si>
    <t>M045</t>
  </si>
  <si>
    <t>M046</t>
  </si>
  <si>
    <t>M047</t>
  </si>
  <si>
    <t>M048</t>
  </si>
  <si>
    <t>M049</t>
  </si>
  <si>
    <t>M050</t>
  </si>
  <si>
    <t>M051</t>
  </si>
  <si>
    <t>M052</t>
  </si>
  <si>
    <t>M053</t>
  </si>
  <si>
    <t>M054</t>
  </si>
  <si>
    <t>M055</t>
  </si>
  <si>
    <t>M056</t>
  </si>
  <si>
    <t>M057</t>
  </si>
  <si>
    <t>M058</t>
  </si>
  <si>
    <t>M059</t>
  </si>
  <si>
    <t>M060</t>
  </si>
  <si>
    <t>M061</t>
  </si>
  <si>
    <t>M062</t>
  </si>
  <si>
    <t>M063</t>
  </si>
  <si>
    <t>M064</t>
  </si>
  <si>
    <t>M065</t>
  </si>
  <si>
    <t>M066</t>
  </si>
  <si>
    <t>M067</t>
  </si>
  <si>
    <t>M068</t>
  </si>
  <si>
    <t>M069</t>
  </si>
  <si>
    <t>M070</t>
  </si>
  <si>
    <t>M071</t>
  </si>
  <si>
    <t>M072</t>
  </si>
  <si>
    <t>M073</t>
  </si>
  <si>
    <t>M074</t>
  </si>
  <si>
    <t>M075</t>
  </si>
  <si>
    <t>M076</t>
  </si>
  <si>
    <t>M077</t>
  </si>
  <si>
    <t>M078</t>
  </si>
  <si>
    <t>M079</t>
  </si>
  <si>
    <t>M080</t>
  </si>
  <si>
    <t>M081</t>
  </si>
  <si>
    <t>M082</t>
  </si>
  <si>
    <t>M083</t>
  </si>
  <si>
    <t>M084</t>
  </si>
  <si>
    <t>M085</t>
  </si>
  <si>
    <t>M086</t>
  </si>
  <si>
    <t>M087</t>
  </si>
  <si>
    <t>M088</t>
  </si>
  <si>
    <t>M089</t>
  </si>
  <si>
    <t>M090</t>
  </si>
  <si>
    <t>M091</t>
  </si>
  <si>
    <t>M092</t>
  </si>
  <si>
    <t>M093</t>
  </si>
  <si>
    <t>M094</t>
  </si>
  <si>
    <t>M095</t>
  </si>
  <si>
    <t>M096</t>
  </si>
  <si>
    <t>M097</t>
  </si>
  <si>
    <t>M098</t>
  </si>
  <si>
    <t>M099</t>
  </si>
  <si>
    <t>M100</t>
  </si>
  <si>
    <t>M101</t>
  </si>
  <si>
    <t>M102</t>
  </si>
  <si>
    <t>M103</t>
  </si>
  <si>
    <t>M104</t>
  </si>
  <si>
    <t>M105</t>
  </si>
  <si>
    <t>M106</t>
  </si>
  <si>
    <t>M107</t>
  </si>
  <si>
    <t>M108</t>
  </si>
  <si>
    <t>M109</t>
  </si>
  <si>
    <t>M110</t>
  </si>
  <si>
    <t>M111</t>
  </si>
  <si>
    <t>M112</t>
  </si>
  <si>
    <t>M113</t>
  </si>
  <si>
    <t>M114</t>
  </si>
  <si>
    <t>M115</t>
  </si>
  <si>
    <t>M116</t>
  </si>
  <si>
    <t>M117</t>
  </si>
  <si>
    <t>M118</t>
  </si>
  <si>
    <t>M119</t>
  </si>
  <si>
    <t>M120</t>
  </si>
  <si>
    <t>M121</t>
  </si>
  <si>
    <t>M122</t>
  </si>
  <si>
    <t>M123</t>
  </si>
  <si>
    <t>M124</t>
  </si>
  <si>
    <t>M125</t>
  </si>
  <si>
    <t>M126</t>
  </si>
  <si>
    <t>M127</t>
  </si>
  <si>
    <t>M128</t>
  </si>
  <si>
    <t>M129</t>
  </si>
  <si>
    <t>M130</t>
  </si>
  <si>
    <t>M131</t>
  </si>
  <si>
    <t>M132</t>
  </si>
  <si>
    <t>M133</t>
  </si>
  <si>
    <t>M134</t>
  </si>
  <si>
    <t>M135</t>
  </si>
  <si>
    <t>M136</t>
  </si>
  <si>
    <t>M137</t>
  </si>
  <si>
    <t>M138</t>
  </si>
  <si>
    <t>M139</t>
  </si>
  <si>
    <t>M140</t>
  </si>
  <si>
    <t>Date</t>
  </si>
  <si>
    <t>Team1_ID</t>
  </si>
  <si>
    <t>Team2_ID</t>
  </si>
  <si>
    <t>Toss_Winner</t>
  </si>
  <si>
    <t>Match_Winner</t>
  </si>
  <si>
    <t>Man_of_Match</t>
  </si>
  <si>
    <t>Team1_Runs</t>
  </si>
  <si>
    <t>Team2_Runs</t>
  </si>
  <si>
    <t>Team1_Wickets</t>
  </si>
  <si>
    <t>Team2_Wickets</t>
  </si>
  <si>
    <t>Overs_Team1</t>
  </si>
  <si>
    <t>Overs_Team2</t>
  </si>
  <si>
    <t>22-03-2025</t>
  </si>
  <si>
    <t>23-03-2025</t>
  </si>
  <si>
    <t>24-03-2025</t>
  </si>
  <si>
    <t>25-03-2025</t>
  </si>
  <si>
    <t>26-03-2025</t>
  </si>
  <si>
    <t>27-03-2025</t>
  </si>
  <si>
    <t>28-03-2025</t>
  </si>
  <si>
    <t>29-03-2025</t>
  </si>
  <si>
    <t>30-03-2025</t>
  </si>
  <si>
    <t>31-03-2025</t>
  </si>
  <si>
    <t>01-04-2025</t>
  </si>
  <si>
    <t>02-04-2025</t>
  </si>
  <si>
    <t>03-04-2025</t>
  </si>
  <si>
    <t>04-04-2025</t>
  </si>
  <si>
    <t>05-04-2025</t>
  </si>
  <si>
    <t>06-04-2025</t>
  </si>
  <si>
    <t>07-04-2025</t>
  </si>
  <si>
    <t>08-04-2025</t>
  </si>
  <si>
    <t>09-04-2025</t>
  </si>
  <si>
    <t>10-04-2025</t>
  </si>
  <si>
    <t>11-04-2025</t>
  </si>
  <si>
    <t>12-04-2025</t>
  </si>
  <si>
    <t>13-04-2025</t>
  </si>
  <si>
    <t>14-04-2025</t>
  </si>
  <si>
    <t>15-04-2025</t>
  </si>
  <si>
    <t>16-04-2025</t>
  </si>
  <si>
    <t>17-04-2025</t>
  </si>
  <si>
    <t>18-04-2025</t>
  </si>
  <si>
    <t>19-04-2025</t>
  </si>
  <si>
    <t>20-04-2025</t>
  </si>
  <si>
    <t>21-04-2025</t>
  </si>
  <si>
    <t>22-04-2025</t>
  </si>
  <si>
    <t>23-04-2025</t>
  </si>
  <si>
    <t>24-04-2025</t>
  </si>
  <si>
    <t>25-04-2025</t>
  </si>
  <si>
    <t>26-04-2025</t>
  </si>
  <si>
    <t>27-04-2025</t>
  </si>
  <si>
    <t>28-04-2025</t>
  </si>
  <si>
    <t>29-04-2025</t>
  </si>
  <si>
    <t>30-04-2025</t>
  </si>
  <si>
    <t>01-05-2025</t>
  </si>
  <si>
    <t>02-05-2025</t>
  </si>
  <si>
    <t>03-05-2025</t>
  </si>
  <si>
    <t>04-05-2025</t>
  </si>
  <si>
    <t>05-05-2025</t>
  </si>
  <si>
    <t>06-05-2025</t>
  </si>
  <si>
    <t>07-05-2025</t>
  </si>
  <si>
    <t>08-05-2025</t>
  </si>
  <si>
    <t>09-05-2025</t>
  </si>
  <si>
    <t>10-05-2025</t>
  </si>
  <si>
    <t>11-05-2025</t>
  </si>
  <si>
    <t>12-05-2025</t>
  </si>
  <si>
    <t>13-05-2025</t>
  </si>
  <si>
    <t>14-05-2025</t>
  </si>
  <si>
    <t>15-05-2025</t>
  </si>
  <si>
    <t>16-05-2025</t>
  </si>
  <si>
    <t>17-05-2025</t>
  </si>
  <si>
    <t>18-05-2025</t>
  </si>
  <si>
    <t>19-05-2025</t>
  </si>
  <si>
    <t>58</t>
  </si>
  <si>
    <t>6</t>
  </si>
  <si>
    <t>3</t>
  </si>
  <si>
    <t>181.25</t>
  </si>
  <si>
    <t>0</t>
  </si>
  <si>
    <t>72</t>
  </si>
  <si>
    <t>50</t>
  </si>
  <si>
    <t>5</t>
  </si>
  <si>
    <t>2</t>
  </si>
  <si>
    <t>144</t>
  </si>
  <si>
    <t>4</t>
  </si>
  <si>
    <t>28</t>
  </si>
  <si>
    <t>7</t>
  </si>
  <si>
    <t>95</t>
  </si>
  <si>
    <t>10</t>
  </si>
  <si>
    <t>163.79</t>
  </si>
  <si>
    <t>45</t>
  </si>
  <si>
    <t>1</t>
  </si>
  <si>
    <t>128.57</t>
  </si>
  <si>
    <t>18</t>
  </si>
  <si>
    <t>188.89</t>
  </si>
  <si>
    <t>9.5</t>
  </si>
  <si>
    <t>7.5</t>
  </si>
  <si>
    <t>65</t>
  </si>
  <si>
    <t>40</t>
  </si>
  <si>
    <t>162.5</t>
  </si>
  <si>
    <t>3.2</t>
  </si>
  <si>
    <t>88</t>
  </si>
  <si>
    <t>52</t>
  </si>
  <si>
    <t>8</t>
  </si>
  <si>
    <t>169.23</t>
  </si>
  <si>
    <t>71.430000000000007</t>
  </si>
  <si>
    <t>180</t>
  </si>
  <si>
    <t>5.5</t>
  </si>
  <si>
    <t>6.25</t>
  </si>
  <si>
    <t>140</t>
  </si>
  <si>
    <t>56</t>
  </si>
  <si>
    <t>200</t>
  </si>
  <si>
    <t>19</t>
  </si>
  <si>
    <t>115.79</t>
  </si>
  <si>
    <t>3.3</t>
  </si>
  <si>
    <t>5.43</t>
  </si>
  <si>
    <t>133.33000000000001</t>
  </si>
  <si>
    <t>17</t>
  </si>
  <si>
    <t>4.25</t>
  </si>
  <si>
    <t>12</t>
  </si>
  <si>
    <t>14</t>
  </si>
  <si>
    <t>85.71</t>
  </si>
  <si>
    <t>75</t>
  </si>
  <si>
    <t>166.67</t>
  </si>
  <si>
    <t>138.88999999999999</t>
  </si>
  <si>
    <t>8.75</t>
  </si>
  <si>
    <t>48</t>
  </si>
  <si>
    <t>150</t>
  </si>
  <si>
    <t>105</t>
  </si>
  <si>
    <t>60</t>
  </si>
  <si>
    <t>175</t>
  </si>
  <si>
    <t>9</t>
  </si>
  <si>
    <t>183.33</t>
  </si>
  <si>
    <t>125</t>
  </si>
  <si>
    <t>55</t>
  </si>
  <si>
    <t>68</t>
  </si>
  <si>
    <t>170</t>
  </si>
  <si>
    <t>42</t>
  </si>
  <si>
    <t>10.5</t>
  </si>
  <si>
    <t>20</t>
  </si>
  <si>
    <t>15</t>
  </si>
  <si>
    <t>6.5</t>
  </si>
  <si>
    <t>5.75</t>
  </si>
  <si>
    <t>8.5</t>
  </si>
  <si>
    <t>80</t>
  </si>
  <si>
    <t>145.44999999999999</t>
  </si>
  <si>
    <t>136.36000000000001</t>
  </si>
  <si>
    <t>78</t>
  </si>
  <si>
    <t>173.33</t>
  </si>
  <si>
    <t>90</t>
  </si>
  <si>
    <t>11</t>
  </si>
  <si>
    <t>142.86000000000001</t>
  </si>
  <si>
    <t>21</t>
  </si>
  <si>
    <t>5.25</t>
  </si>
  <si>
    <t>102</t>
  </si>
  <si>
    <t>59</t>
  </si>
  <si>
    <t>172.88</t>
  </si>
  <si>
    <t>165</t>
  </si>
  <si>
    <t>171.43</t>
  </si>
  <si>
    <t>70</t>
  </si>
  <si>
    <t>85</t>
  </si>
  <si>
    <t>187.5</t>
  </si>
  <si>
    <t>157.13999999999999</t>
  </si>
  <si>
    <t>110</t>
  </si>
  <si>
    <t>11.25</t>
  </si>
  <si>
    <t>5.14</t>
  </si>
  <si>
    <t>120</t>
  </si>
  <si>
    <t>154.55000000000001</t>
  </si>
  <si>
    <t>7.25</t>
  </si>
  <si>
    <t>190.91</t>
  </si>
  <si>
    <t>3.75</t>
  </si>
  <si>
    <t>155.56</t>
  </si>
  <si>
    <t>163.63999999999999</t>
  </si>
  <si>
    <t>185.71</t>
  </si>
  <si>
    <t>160</t>
  </si>
  <si>
    <t>3.5</t>
  </si>
  <si>
    <t>3.86</t>
  </si>
  <si>
    <t>177.78</t>
  </si>
  <si>
    <t>4.5</t>
  </si>
  <si>
    <t>190</t>
  </si>
  <si>
    <t>192</t>
  </si>
  <si>
    <t>174</t>
  </si>
  <si>
    <t>184</t>
  </si>
  <si>
    <t>183</t>
  </si>
  <si>
    <t>208</t>
  </si>
  <si>
    <t>198</t>
  </si>
  <si>
    <t>193</t>
  </si>
  <si>
    <t>17.2</t>
  </si>
  <si>
    <t>181</t>
  </si>
  <si>
    <t>185</t>
  </si>
  <si>
    <t>19.3</t>
  </si>
  <si>
    <t>164</t>
  </si>
  <si>
    <t>18.399999999999999</t>
  </si>
  <si>
    <t>178</t>
  </si>
  <si>
    <t>169</t>
  </si>
  <si>
    <t>154</t>
  </si>
  <si>
    <t>155</t>
  </si>
  <si>
    <t>19.5</t>
  </si>
  <si>
    <t>171</t>
  </si>
  <si>
    <t>156</t>
  </si>
  <si>
    <t>18.3</t>
  </si>
  <si>
    <t>149</t>
  </si>
  <si>
    <t>18.100000000000001</t>
  </si>
  <si>
    <t>177</t>
  </si>
  <si>
    <t>152</t>
  </si>
  <si>
    <t>161</t>
  </si>
  <si>
    <t>162</t>
  </si>
  <si>
    <t>19.2</t>
  </si>
  <si>
    <t>187</t>
  </si>
  <si>
    <t>188</t>
  </si>
  <si>
    <t>186</t>
  </si>
  <si>
    <t>19.100000000000001</t>
  </si>
  <si>
    <t>19.399999999999999</t>
  </si>
  <si>
    <t>194</t>
  </si>
  <si>
    <t>172</t>
  </si>
  <si>
    <t>166</t>
  </si>
  <si>
    <t>167</t>
  </si>
  <si>
    <t>159</t>
  </si>
  <si>
    <t>158</t>
  </si>
  <si>
    <t>168</t>
  </si>
  <si>
    <t>189</t>
  </si>
  <si>
    <t>173</t>
  </si>
  <si>
    <t>157</t>
  </si>
  <si>
    <t>179</t>
  </si>
  <si>
    <t>195</t>
  </si>
  <si>
    <t>182</t>
  </si>
  <si>
    <t>197</t>
  </si>
  <si>
    <t>196</t>
  </si>
  <si>
    <t>176</t>
  </si>
  <si>
    <t>153</t>
  </si>
  <si>
    <t>163</t>
  </si>
  <si>
    <t>Grand Total</t>
  </si>
  <si>
    <t>Count of Match_ID</t>
  </si>
  <si>
    <t>Total_Wins</t>
  </si>
  <si>
    <t>Total_Runs</t>
  </si>
  <si>
    <t xml:space="preserve">Team Names </t>
  </si>
  <si>
    <t>Team Names</t>
  </si>
  <si>
    <t>Count of Team_ID</t>
  </si>
  <si>
    <t>Venue Name</t>
  </si>
  <si>
    <t>Win by Runs</t>
  </si>
  <si>
    <t>win by Wickets</t>
  </si>
  <si>
    <t>(blank)</t>
  </si>
  <si>
    <t>Total Runs</t>
  </si>
  <si>
    <t xml:space="preserve"> Economy</t>
  </si>
  <si>
    <t>Total  Wickets</t>
  </si>
  <si>
    <t xml:space="preserve"> Balls_Faced</t>
  </si>
  <si>
    <t>PlayerAverageStrikeRate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</si>
</sst>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72"/>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9999"/>
        <bgColor indexed="64"/>
      </patternFill>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3">
    <xf numFmtId="0" fontId="0" fillId="0" borderId="0" xfId="0"/>
    <xf numFmtId="0" fontId="0" fillId="0" borderId="0" xfId="0" pivotButton="1"/>
    <xf numFmtId="0" fontId="0" fillId="0" borderId="0" xfId="0" applyAlignment="1">
      <alignment horizontal="left"/>
    </xf>
    <xf numFmtId="1" fontId="0" fillId="0" borderId="0" xfId="0" applyNumberFormat="1"/>
    <xf numFmtId="0" fontId="0" fillId="2" borderId="0" xfId="0" applyFill="1"/>
    <xf numFmtId="0" fontId="1" fillId="2" borderId="0" xfId="0" applyFont="1" applyFill="1" applyAlignment="1">
      <alignment horizontal="center" vertical="center"/>
    </xf>
    <xf numFmtId="0" fontId="2" fillId="3" borderId="1" xfId="0" applyFont="1" applyFill="1" applyBorder="1"/>
    <xf numFmtId="0" fontId="0" fillId="0" borderId="0" xfId="0" applyNumberFormat="1"/>
    <xf numFmtId="0" fontId="2" fillId="0" borderId="1" xfId="0" applyFont="1" applyBorder="1" applyAlignment="1">
      <alignment horizontal="left"/>
    </xf>
    <xf numFmtId="0" fontId="2" fillId="0" borderId="1" xfId="0" applyNumberFormat="1" applyFont="1" applyBorder="1"/>
    <xf numFmtId="0" fontId="2" fillId="3" borderId="2" xfId="0" applyFont="1" applyFill="1" applyBorder="1" applyAlignment="1">
      <alignment horizontal="left"/>
    </xf>
    <xf numFmtId="0" fontId="2" fillId="3" borderId="2" xfId="0" applyNumberFormat="1" applyFont="1" applyFill="1" applyBorder="1"/>
    <xf numFmtId="4" fontId="0" fillId="0" borderId="0" xfId="0" applyNumberFormat="1"/>
  </cellXfs>
  <cellStyles count="1">
    <cellStyle name="Normal" xfId="0" builtinId="0"/>
  </cellStyles>
  <dxfs count="4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9999"/>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63" Type="http://schemas.openxmlformats.org/officeDocument/2006/relationships/customXml" Target="../customXml/item3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ustomXml" Target="../customXml/item2.xml"/><Relationship Id="rId11" Type="http://schemas.openxmlformats.org/officeDocument/2006/relationships/pivotCacheDefinition" Target="pivotCache/pivotCacheDefinition2.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5" Type="http://schemas.openxmlformats.org/officeDocument/2006/relationships/worksheet" Target="worksheets/sheet5.xml"/><Relationship Id="rId61" Type="http://schemas.openxmlformats.org/officeDocument/2006/relationships/customXml" Target="../customXml/item34.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64" Type="http://schemas.openxmlformats.org/officeDocument/2006/relationships/customXml" Target="../customXml/item37.xml"/><Relationship Id="rId8" Type="http://schemas.openxmlformats.org/officeDocument/2006/relationships/worksheet" Target="worksheets/sheet8.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20" Type="http://schemas.microsoft.com/office/2007/relationships/slicerCache" Target="slicerCaches/slicerCache1.xml"/><Relationship Id="rId41" Type="http://schemas.openxmlformats.org/officeDocument/2006/relationships/customXml" Target="../customXml/item14.xml"/><Relationship Id="rId54" Type="http://schemas.openxmlformats.org/officeDocument/2006/relationships/customXml" Target="../customXml/item27.xml"/><Relationship Id="rId62"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1.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2025.xlsx]Team_Summary!PivotTable11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 Vs Wins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Team_Summary!$B$16</c:f>
              <c:strCache>
                <c:ptCount val="1"/>
                <c:pt idx="0">
                  <c:v>Total</c:v>
                </c:pt>
              </c:strCache>
            </c:strRef>
          </c:tx>
          <c:spPr>
            <a:solidFill>
              <a:schemeClr val="accent6"/>
            </a:solidFill>
            <a:ln>
              <a:noFill/>
            </a:ln>
            <a:effectLst/>
            <a:sp3d/>
          </c:spPr>
          <c:invertIfNegative val="0"/>
          <c:cat>
            <c:strRef>
              <c:f>Team_Summary!$A$17:$A$26</c:f>
              <c:strCache>
                <c:ptCount val="9"/>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pt idx="8">
                  <c:v>(blank)</c:v>
                </c:pt>
              </c:strCache>
            </c:strRef>
          </c:cat>
          <c:val>
            <c:numRef>
              <c:f>Team_Summary!$B$17:$B$26</c:f>
              <c:numCache>
                <c:formatCode>0</c:formatCode>
                <c:ptCount val="9"/>
                <c:pt idx="0">
                  <c:v>5</c:v>
                </c:pt>
                <c:pt idx="1">
                  <c:v>2</c:v>
                </c:pt>
                <c:pt idx="2">
                  <c:v>4</c:v>
                </c:pt>
                <c:pt idx="3">
                  <c:v>4</c:v>
                </c:pt>
                <c:pt idx="4">
                  <c:v>2</c:v>
                </c:pt>
                <c:pt idx="5">
                  <c:v>4</c:v>
                </c:pt>
                <c:pt idx="6">
                  <c:v>4</c:v>
                </c:pt>
                <c:pt idx="7">
                  <c:v>5</c:v>
                </c:pt>
                <c:pt idx="8">
                  <c:v>0</c:v>
                </c:pt>
              </c:numCache>
            </c:numRef>
          </c:val>
          <c:extLst>
            <c:ext xmlns:c16="http://schemas.microsoft.com/office/drawing/2014/chart" uri="{C3380CC4-5D6E-409C-BE32-E72D297353CC}">
              <c16:uniqueId val="{00000000-C55E-4F6F-89BB-0826C1CDB2D1}"/>
            </c:ext>
          </c:extLst>
        </c:ser>
        <c:dLbls>
          <c:showLegendKey val="0"/>
          <c:showVal val="0"/>
          <c:showCatName val="0"/>
          <c:showSerName val="0"/>
          <c:showPercent val="0"/>
          <c:showBubbleSize val="0"/>
        </c:dLbls>
        <c:gapWidth val="150"/>
        <c:shape val="box"/>
        <c:axId val="1600620592"/>
        <c:axId val="733637392"/>
        <c:axId val="0"/>
      </c:bar3DChart>
      <c:catAx>
        <c:axId val="1600620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637392"/>
        <c:crosses val="autoZero"/>
        <c:auto val="1"/>
        <c:lblAlgn val="ctr"/>
        <c:lblOffset val="100"/>
        <c:noMultiLvlLbl val="0"/>
      </c:catAx>
      <c:valAx>
        <c:axId val="7336373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62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2025.xlsx]Team_Summary!PivotTable12</c:name>
    <c:fmtId val="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Team Vs Total Runs</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Team_Summary!$I$3</c:f>
              <c:strCache>
                <c:ptCount val="1"/>
                <c:pt idx="0">
                  <c:v>Total</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Team_Summary!$H$4:$H$12</c:f>
              <c:strCache>
                <c:ptCount val="8"/>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strCache>
            </c:strRef>
          </c:cat>
          <c:val>
            <c:numRef>
              <c:f>Team_Summary!$I$4:$I$12</c:f>
              <c:numCache>
                <c:formatCode>General</c:formatCode>
                <c:ptCount val="8"/>
                <c:pt idx="0">
                  <c:v>2869</c:v>
                </c:pt>
                <c:pt idx="1">
                  <c:v>2420</c:v>
                </c:pt>
                <c:pt idx="2">
                  <c:v>2788</c:v>
                </c:pt>
                <c:pt idx="3">
                  <c:v>2735</c:v>
                </c:pt>
                <c:pt idx="4">
                  <c:v>2458</c:v>
                </c:pt>
                <c:pt idx="5">
                  <c:v>2318</c:v>
                </c:pt>
                <c:pt idx="6">
                  <c:v>2600</c:v>
                </c:pt>
                <c:pt idx="7">
                  <c:v>2756</c:v>
                </c:pt>
              </c:numCache>
            </c:numRef>
          </c:val>
          <c:extLst>
            <c:ext xmlns:c16="http://schemas.microsoft.com/office/drawing/2014/chart" uri="{C3380CC4-5D6E-409C-BE32-E72D297353CC}">
              <c16:uniqueId val="{00000000-552B-4DC9-A538-7D524B9AA266}"/>
            </c:ext>
          </c:extLst>
        </c:ser>
        <c:dLbls>
          <c:showLegendKey val="0"/>
          <c:showVal val="0"/>
          <c:showCatName val="0"/>
          <c:showSerName val="0"/>
          <c:showPercent val="0"/>
          <c:showBubbleSize val="0"/>
        </c:dLbls>
        <c:gapWidth val="150"/>
        <c:shape val="box"/>
        <c:axId val="731471312"/>
        <c:axId val="731467952"/>
        <c:axId val="0"/>
      </c:bar3DChart>
      <c:catAx>
        <c:axId val="73147131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467952"/>
        <c:crosses val="autoZero"/>
        <c:auto val="1"/>
        <c:lblAlgn val="ctr"/>
        <c:lblOffset val="100"/>
        <c:noMultiLvlLbl val="0"/>
      </c:catAx>
      <c:valAx>
        <c:axId val="731467952"/>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47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[IPL Dashboard 2025.xlsx]Team_Summary!PivotTable13</c:name>
    <c:fmtId val="1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Win</a:t>
            </a:r>
            <a:r>
              <a:rPr lang="en-US" baseline="0"/>
              <a:t> Type</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hade val="76000"/>
            </a:schemeClr>
          </a:solidFill>
          <a:ln>
            <a:noFill/>
          </a:ln>
          <a:effectLst>
            <a:outerShdw blurRad="317500" algn="ctr" rotWithShape="0">
              <a:prstClr val="black">
                <a:alpha val="25000"/>
              </a:prstClr>
            </a:outerShdw>
          </a:effectLst>
        </c:spPr>
      </c:pivotFmt>
      <c:pivotFmt>
        <c:idx val="2"/>
        <c:spPr>
          <a:solidFill>
            <a:schemeClr val="accent2">
              <a:tint val="77000"/>
            </a:schemeClr>
          </a:solidFill>
          <a:ln>
            <a:noFill/>
          </a:ln>
          <a:effectLst>
            <a:outerShdw blurRad="317500" algn="ctr" rotWithShape="0">
              <a:prstClr val="black">
                <a:alpha val="25000"/>
              </a:prstClr>
            </a:outerShdw>
          </a:effectLst>
        </c:spPr>
      </c:pivotFmt>
    </c:pivotFmts>
    <c:plotArea>
      <c:layout/>
      <c:pieChart>
        <c:varyColors val="1"/>
        <c:ser>
          <c:idx val="0"/>
          <c:order val="0"/>
          <c:tx>
            <c:strRef>
              <c:f>Team_Summary!$N$3</c:f>
              <c:strCache>
                <c:ptCount val="1"/>
                <c:pt idx="0">
                  <c:v>Total</c:v>
                </c:pt>
              </c:strCache>
            </c:strRef>
          </c:tx>
          <c:dPt>
            <c:idx val="0"/>
            <c:bubble3D val="0"/>
            <c:spPr>
              <a:solidFill>
                <a:schemeClr val="accent2">
                  <a:shade val="76000"/>
                </a:schemeClr>
              </a:solidFill>
              <a:ln>
                <a:noFill/>
              </a:ln>
              <a:effectLst>
                <a:outerShdw blurRad="317500" algn="ctr" rotWithShape="0">
                  <a:prstClr val="black">
                    <a:alpha val="25000"/>
                  </a:prstClr>
                </a:outerShdw>
              </a:effectLst>
            </c:spPr>
          </c:dPt>
          <c:dPt>
            <c:idx val="1"/>
            <c:bubble3D val="0"/>
            <c:spPr>
              <a:solidFill>
                <a:schemeClr val="accent2">
                  <a:tint val="77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Team_Summary!$M$4:$M$6</c:f>
              <c:strCache>
                <c:ptCount val="2"/>
                <c:pt idx="0">
                  <c:v>Win by Runs</c:v>
                </c:pt>
                <c:pt idx="1">
                  <c:v>win by Wickets</c:v>
                </c:pt>
              </c:strCache>
            </c:strRef>
          </c:cat>
          <c:val>
            <c:numRef>
              <c:f>Team_Summary!$N$4:$N$6</c:f>
              <c:numCache>
                <c:formatCode>General</c:formatCode>
                <c:ptCount val="2"/>
                <c:pt idx="0">
                  <c:v>13297</c:v>
                </c:pt>
                <c:pt idx="1">
                  <c:v>7647</c:v>
                </c:pt>
              </c:numCache>
            </c:numRef>
          </c:val>
          <c:extLst>
            <c:ext xmlns:c16="http://schemas.microsoft.com/office/drawing/2014/chart" uri="{C3380CC4-5D6E-409C-BE32-E72D297353CC}">
              <c16:uniqueId val="{00000004-6B35-4FE6-A885-10C4C6BB9D7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[IPL Dashboard 2025.xlsx]Team_Summary!PivotTable14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Venue</a:t>
            </a:r>
            <a:r>
              <a:rPr lang="en-US" baseline="0"/>
              <a:t> Vs Matches</a:t>
            </a:r>
            <a:endParaRPr lang="en-US"/>
          </a:p>
        </c:rich>
      </c:tx>
      <c:layout>
        <c:manualLayout>
          <c:xMode val="edge"/>
          <c:yMode val="edge"/>
          <c:x val="0.39150619641175893"/>
          <c:y val="0.1446376284023417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Team_Summary!$B$28</c:f>
              <c:strCache>
                <c:ptCount val="1"/>
                <c:pt idx="0">
                  <c:v>Total</c:v>
                </c:pt>
              </c:strCache>
            </c:strRef>
          </c:tx>
          <c:spPr>
            <a:solidFill>
              <a:schemeClr val="accent4"/>
            </a:solidFill>
            <a:ln>
              <a:noFill/>
            </a:ln>
            <a:effectLst/>
          </c:spPr>
          <c:invertIfNegative val="0"/>
          <c:cat>
            <c:strRef>
              <c:f>Team_Summary!$A$29:$A$40</c:f>
              <c:strCache>
                <c:ptCount val="11"/>
                <c:pt idx="0">
                  <c:v>Arun Jaitley Stadium</c:v>
                </c:pt>
                <c:pt idx="1">
                  <c:v>Bharat Ratna Shri Atal Bihari Vajpayee Ekana Cricket Stadium</c:v>
                </c:pt>
                <c:pt idx="2">
                  <c:v>Eden Gardens</c:v>
                </c:pt>
                <c:pt idx="3">
                  <c:v>M. A. Chidambaram Stadium</c:v>
                </c:pt>
                <c:pt idx="4">
                  <c:v>M. Chinnaswamy Stadium</c:v>
                </c:pt>
                <c:pt idx="5">
                  <c:v>Maharaja Yadavindra Singh Int. Cricket Stadium</c:v>
                </c:pt>
                <c:pt idx="6">
                  <c:v>Narendra Modi Stadium</c:v>
                </c:pt>
                <c:pt idx="7">
                  <c:v>Rajiv Gandhi Int. Stadium</c:v>
                </c:pt>
                <c:pt idx="8">
                  <c:v>Sawai Mansingh Stadium</c:v>
                </c:pt>
                <c:pt idx="9">
                  <c:v>Wankhede Stadium</c:v>
                </c:pt>
                <c:pt idx="10">
                  <c:v>(blank)</c:v>
                </c:pt>
              </c:strCache>
            </c:strRef>
          </c:cat>
          <c:val>
            <c:numRef>
              <c:f>Team_Summary!$B$29:$B$40</c:f>
              <c:numCache>
                <c:formatCode>General</c:formatCode>
                <c:ptCount val="11"/>
                <c:pt idx="0">
                  <c:v>8</c:v>
                </c:pt>
                <c:pt idx="1">
                  <c:v>8</c:v>
                </c:pt>
                <c:pt idx="2">
                  <c:v>8</c:v>
                </c:pt>
                <c:pt idx="3">
                  <c:v>8</c:v>
                </c:pt>
                <c:pt idx="4">
                  <c:v>8</c:v>
                </c:pt>
                <c:pt idx="5">
                  <c:v>8</c:v>
                </c:pt>
                <c:pt idx="6">
                  <c:v>8</c:v>
                </c:pt>
                <c:pt idx="7">
                  <c:v>8</c:v>
                </c:pt>
                <c:pt idx="8">
                  <c:v>8</c:v>
                </c:pt>
                <c:pt idx="9">
                  <c:v>8</c:v>
                </c:pt>
                <c:pt idx="10">
                  <c:v>8</c:v>
                </c:pt>
              </c:numCache>
            </c:numRef>
          </c:val>
          <c:extLst>
            <c:ext xmlns:c16="http://schemas.microsoft.com/office/drawing/2014/chart" uri="{C3380CC4-5D6E-409C-BE32-E72D297353CC}">
              <c16:uniqueId val="{00000000-5D17-4299-BFC1-515EC009CCBB}"/>
            </c:ext>
          </c:extLst>
        </c:ser>
        <c:dLbls>
          <c:showLegendKey val="0"/>
          <c:showVal val="0"/>
          <c:showCatName val="0"/>
          <c:showSerName val="0"/>
          <c:showPercent val="0"/>
          <c:showBubbleSize val="0"/>
        </c:dLbls>
        <c:gapWidth val="150"/>
        <c:overlap val="100"/>
        <c:axId val="786327936"/>
        <c:axId val="786321696"/>
      </c:barChart>
      <c:catAx>
        <c:axId val="786327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321696"/>
        <c:crosses val="autoZero"/>
        <c:auto val="1"/>
        <c:lblAlgn val="ctr"/>
        <c:lblOffset val="100"/>
        <c:noMultiLvlLbl val="0"/>
      </c:catAx>
      <c:valAx>
        <c:axId val="78632169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32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a:t>
            </a:r>
            <a:r>
              <a:rPr lang="en-US" baseline="0"/>
              <a:t> VS Total Runs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Plater_Summary!$K$3</c:f>
              <c:strCache>
                <c:ptCount val="1"/>
                <c:pt idx="0">
                  <c:v>Total Runs</c:v>
                </c:pt>
              </c:strCache>
            </c:strRef>
          </c:tx>
          <c:spPr>
            <a:ln w="28575" cap="rnd">
              <a:solidFill>
                <a:schemeClr val="accent2"/>
              </a:solidFill>
              <a:round/>
            </a:ln>
            <a:effectLst/>
          </c:spPr>
          <c:marker>
            <c:symbol val="none"/>
          </c:marker>
          <c:cat>
            <c:strRef>
              <c:f>Plater_Summary!$J$4:$J$37</c:f>
              <c:strCache>
                <c:ptCount val="34"/>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pt idx="33">
                  <c:v>Grand Total</c:v>
                </c:pt>
              </c:strCache>
            </c:strRef>
          </c:cat>
          <c:val>
            <c:numRef>
              <c:f>Plater_Summary!$K$4:$K$37</c:f>
              <c:numCache>
                <c:formatCode>General</c:formatCode>
                <c:ptCount val="34"/>
                <c:pt idx="0">
                  <c:v>440</c:v>
                </c:pt>
                <c:pt idx="1">
                  <c:v>368</c:v>
                </c:pt>
                <c:pt idx="2">
                  <c:v>0</c:v>
                </c:pt>
                <c:pt idx="3">
                  <c:v>0</c:v>
                </c:pt>
                <c:pt idx="4">
                  <c:v>0</c:v>
                </c:pt>
                <c:pt idx="5">
                  <c:v>261</c:v>
                </c:pt>
                <c:pt idx="6">
                  <c:v>300</c:v>
                </c:pt>
                <c:pt idx="7">
                  <c:v>0</c:v>
                </c:pt>
                <c:pt idx="8">
                  <c:v>42</c:v>
                </c:pt>
                <c:pt idx="9">
                  <c:v>151</c:v>
                </c:pt>
                <c:pt idx="10">
                  <c:v>180</c:v>
                </c:pt>
                <c:pt idx="11">
                  <c:v>482</c:v>
                </c:pt>
                <c:pt idx="12">
                  <c:v>278</c:v>
                </c:pt>
                <c:pt idx="13">
                  <c:v>0</c:v>
                </c:pt>
                <c:pt idx="14">
                  <c:v>82</c:v>
                </c:pt>
                <c:pt idx="15">
                  <c:v>597</c:v>
                </c:pt>
                <c:pt idx="16">
                  <c:v>0</c:v>
                </c:pt>
                <c:pt idx="17">
                  <c:v>0</c:v>
                </c:pt>
                <c:pt idx="18">
                  <c:v>345</c:v>
                </c:pt>
                <c:pt idx="19">
                  <c:v>0</c:v>
                </c:pt>
                <c:pt idx="20">
                  <c:v>210</c:v>
                </c:pt>
                <c:pt idx="21">
                  <c:v>25</c:v>
                </c:pt>
                <c:pt idx="22">
                  <c:v>382</c:v>
                </c:pt>
                <c:pt idx="23">
                  <c:v>491</c:v>
                </c:pt>
                <c:pt idx="24">
                  <c:v>171</c:v>
                </c:pt>
                <c:pt idx="25">
                  <c:v>386</c:v>
                </c:pt>
                <c:pt idx="26">
                  <c:v>132</c:v>
                </c:pt>
                <c:pt idx="27">
                  <c:v>550</c:v>
                </c:pt>
                <c:pt idx="28">
                  <c:v>0</c:v>
                </c:pt>
                <c:pt idx="29">
                  <c:v>0</c:v>
                </c:pt>
                <c:pt idx="30">
                  <c:v>982</c:v>
                </c:pt>
                <c:pt idx="31">
                  <c:v>608</c:v>
                </c:pt>
                <c:pt idx="32">
                  <c:v>0</c:v>
                </c:pt>
                <c:pt idx="33">
                  <c:v>7463</c:v>
                </c:pt>
              </c:numCache>
            </c:numRef>
          </c:val>
          <c:smooth val="0"/>
          <c:extLst>
            <c:ext xmlns:c16="http://schemas.microsoft.com/office/drawing/2014/chart" uri="{C3380CC4-5D6E-409C-BE32-E72D297353CC}">
              <c16:uniqueId val="{00000000-E4B6-4CBF-873B-002A1BD41179}"/>
            </c:ext>
          </c:extLst>
        </c:ser>
        <c:dLbls>
          <c:showLegendKey val="0"/>
          <c:showVal val="0"/>
          <c:showCatName val="0"/>
          <c:showSerName val="0"/>
          <c:showPercent val="0"/>
          <c:showBubbleSize val="0"/>
        </c:dLbls>
        <c:smooth val="0"/>
        <c:axId val="2049284896"/>
        <c:axId val="2049282496"/>
      </c:lineChart>
      <c:catAx>
        <c:axId val="204928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282496"/>
        <c:crosses val="autoZero"/>
        <c:auto val="1"/>
        <c:lblAlgn val="ctr"/>
        <c:lblOffset val="100"/>
        <c:noMultiLvlLbl val="0"/>
      </c:catAx>
      <c:valAx>
        <c:axId val="2049282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28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2025.xlsx]Plater_Summary!PivotTable4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Players</a:t>
            </a:r>
            <a:r>
              <a:rPr lang="en-IN" baseline="0"/>
              <a:t> VS </a:t>
            </a:r>
            <a:r>
              <a:rPr lang="en-IN"/>
              <a:t>Total Wickets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Plater_Summary!$B$41</c:f>
              <c:strCache>
                <c:ptCount val="1"/>
                <c:pt idx="0">
                  <c:v>Total</c:v>
                </c:pt>
              </c:strCache>
            </c:strRef>
          </c:tx>
          <c:spPr>
            <a:ln w="28575" cap="rnd">
              <a:solidFill>
                <a:schemeClr val="accent6"/>
              </a:solidFill>
              <a:round/>
            </a:ln>
            <a:effectLst/>
          </c:spPr>
          <c:marker>
            <c:symbol val="none"/>
          </c:marker>
          <c:cat>
            <c:strRef>
              <c:f>Plater_Summary!$A$42:$A$75</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Plater_Summary!$B$42:$B$75</c:f>
              <c:numCache>
                <c:formatCode>General</c:formatCode>
                <c:ptCount val="33"/>
                <c:pt idx="0">
                  <c:v>0</c:v>
                </c:pt>
                <c:pt idx="1">
                  <c:v>11</c:v>
                </c:pt>
                <c:pt idx="2">
                  <c:v>19</c:v>
                </c:pt>
                <c:pt idx="3">
                  <c:v>9</c:v>
                </c:pt>
                <c:pt idx="4">
                  <c:v>6</c:v>
                </c:pt>
                <c:pt idx="5">
                  <c:v>0</c:v>
                </c:pt>
                <c:pt idx="6">
                  <c:v>0</c:v>
                </c:pt>
                <c:pt idx="7">
                  <c:v>17</c:v>
                </c:pt>
                <c:pt idx="8">
                  <c:v>0</c:v>
                </c:pt>
                <c:pt idx="9">
                  <c:v>2</c:v>
                </c:pt>
                <c:pt idx="10">
                  <c:v>6</c:v>
                </c:pt>
                <c:pt idx="11">
                  <c:v>0</c:v>
                </c:pt>
                <c:pt idx="12">
                  <c:v>0</c:v>
                </c:pt>
                <c:pt idx="13">
                  <c:v>25</c:v>
                </c:pt>
                <c:pt idx="14">
                  <c:v>0</c:v>
                </c:pt>
                <c:pt idx="15">
                  <c:v>0</c:v>
                </c:pt>
                <c:pt idx="16">
                  <c:v>6</c:v>
                </c:pt>
                <c:pt idx="17">
                  <c:v>10</c:v>
                </c:pt>
                <c:pt idx="18">
                  <c:v>0</c:v>
                </c:pt>
                <c:pt idx="19">
                  <c:v>3</c:v>
                </c:pt>
                <c:pt idx="20">
                  <c:v>2</c:v>
                </c:pt>
                <c:pt idx="21">
                  <c:v>9</c:v>
                </c:pt>
                <c:pt idx="22">
                  <c:v>0</c:v>
                </c:pt>
                <c:pt idx="23">
                  <c:v>0</c:v>
                </c:pt>
                <c:pt idx="24">
                  <c:v>16</c:v>
                </c:pt>
                <c:pt idx="25">
                  <c:v>0</c:v>
                </c:pt>
                <c:pt idx="26">
                  <c:v>0</c:v>
                </c:pt>
                <c:pt idx="27">
                  <c:v>0</c:v>
                </c:pt>
                <c:pt idx="28">
                  <c:v>13</c:v>
                </c:pt>
                <c:pt idx="29">
                  <c:v>15</c:v>
                </c:pt>
                <c:pt idx="30">
                  <c:v>0</c:v>
                </c:pt>
                <c:pt idx="31">
                  <c:v>0</c:v>
                </c:pt>
                <c:pt idx="32">
                  <c:v>9</c:v>
                </c:pt>
              </c:numCache>
            </c:numRef>
          </c:val>
          <c:smooth val="0"/>
          <c:extLst>
            <c:ext xmlns:c16="http://schemas.microsoft.com/office/drawing/2014/chart" uri="{C3380CC4-5D6E-409C-BE32-E72D297353CC}">
              <c16:uniqueId val="{00000000-EC74-4D9B-8944-0D302FFD730F}"/>
            </c:ext>
          </c:extLst>
        </c:ser>
        <c:dLbls>
          <c:showLegendKey val="0"/>
          <c:showVal val="0"/>
          <c:showCatName val="0"/>
          <c:showSerName val="0"/>
          <c:showPercent val="0"/>
          <c:showBubbleSize val="0"/>
        </c:dLbls>
        <c:smooth val="0"/>
        <c:axId val="1024734431"/>
        <c:axId val="1024736831"/>
      </c:lineChart>
      <c:catAx>
        <c:axId val="102473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736831"/>
        <c:crosses val="autoZero"/>
        <c:auto val="1"/>
        <c:lblAlgn val="ctr"/>
        <c:lblOffset val="100"/>
        <c:noMultiLvlLbl val="0"/>
      </c:catAx>
      <c:valAx>
        <c:axId val="1024736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73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2025.xlsx]Plater_Summary!PivotTable5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Player</a:t>
            </a:r>
            <a:r>
              <a:rPr lang="en-IN" baseline="0"/>
              <a:t> VS Economy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Plater_Summary!$P$41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dPt>
            <c:idx val="19"/>
            <c:bubble3D val="0"/>
            <c:spPr>
              <a:solidFill>
                <a:schemeClr val="accent2">
                  <a:lumMod val="80000"/>
                </a:schemeClr>
              </a:solidFill>
              <a:ln w="25400">
                <a:solidFill>
                  <a:schemeClr val="lt1"/>
                </a:solidFill>
              </a:ln>
              <a:effectLst/>
              <a:sp3d contourW="25400">
                <a:contourClr>
                  <a:schemeClr val="lt1"/>
                </a:contourClr>
              </a:sp3d>
            </c:spPr>
          </c:dPt>
          <c:dPt>
            <c:idx val="20"/>
            <c:bubble3D val="0"/>
            <c:spPr>
              <a:solidFill>
                <a:schemeClr val="accent3">
                  <a:lumMod val="80000"/>
                </a:schemeClr>
              </a:solidFill>
              <a:ln w="25400">
                <a:solidFill>
                  <a:schemeClr val="lt1"/>
                </a:solidFill>
              </a:ln>
              <a:effectLst/>
              <a:sp3d contourW="25400">
                <a:contourClr>
                  <a:schemeClr val="lt1"/>
                </a:contourClr>
              </a:sp3d>
            </c:spPr>
          </c:dPt>
          <c:dPt>
            <c:idx val="21"/>
            <c:bubble3D val="0"/>
            <c:spPr>
              <a:solidFill>
                <a:schemeClr val="accent4">
                  <a:lumMod val="80000"/>
                </a:schemeClr>
              </a:solidFill>
              <a:ln w="25400">
                <a:solidFill>
                  <a:schemeClr val="lt1"/>
                </a:solidFill>
              </a:ln>
              <a:effectLst/>
              <a:sp3d contourW="25400">
                <a:contourClr>
                  <a:schemeClr val="lt1"/>
                </a:contourClr>
              </a:sp3d>
            </c:spPr>
          </c:dPt>
          <c:dPt>
            <c:idx val="22"/>
            <c:bubble3D val="0"/>
            <c:spPr>
              <a:solidFill>
                <a:schemeClr val="accent5">
                  <a:lumMod val="80000"/>
                </a:schemeClr>
              </a:solidFill>
              <a:ln w="25400">
                <a:solidFill>
                  <a:schemeClr val="lt1"/>
                </a:solidFill>
              </a:ln>
              <a:effectLst/>
              <a:sp3d contourW="25400">
                <a:contourClr>
                  <a:schemeClr val="lt1"/>
                </a:contourClr>
              </a:sp3d>
            </c:spPr>
          </c:dPt>
          <c:dPt>
            <c:idx val="23"/>
            <c:bubble3D val="0"/>
            <c:spPr>
              <a:solidFill>
                <a:schemeClr val="accent6">
                  <a:lumMod val="80000"/>
                </a:schemeClr>
              </a:solidFill>
              <a:ln w="25400">
                <a:solidFill>
                  <a:schemeClr val="lt1"/>
                </a:solidFill>
              </a:ln>
              <a:effectLst/>
              <a:sp3d contourW="25400">
                <a:contourClr>
                  <a:schemeClr val="lt1"/>
                </a:contourClr>
              </a:sp3d>
            </c:spPr>
          </c:dPt>
          <c:dPt>
            <c:idx val="24"/>
            <c:bubble3D val="0"/>
            <c:spPr>
              <a:solidFill>
                <a:schemeClr val="accent1">
                  <a:lumMod val="60000"/>
                  <a:lumOff val="40000"/>
                </a:schemeClr>
              </a:solidFill>
              <a:ln w="25400">
                <a:solidFill>
                  <a:schemeClr val="lt1"/>
                </a:solidFill>
              </a:ln>
              <a:effectLst/>
              <a:sp3d contourW="25400">
                <a:contourClr>
                  <a:schemeClr val="lt1"/>
                </a:contourClr>
              </a:sp3d>
            </c:spPr>
          </c:dPt>
          <c:dPt>
            <c:idx val="25"/>
            <c:bubble3D val="0"/>
            <c:spPr>
              <a:solidFill>
                <a:schemeClr val="accent2">
                  <a:lumMod val="60000"/>
                  <a:lumOff val="40000"/>
                </a:schemeClr>
              </a:solidFill>
              <a:ln w="25400">
                <a:solidFill>
                  <a:schemeClr val="lt1"/>
                </a:solidFill>
              </a:ln>
              <a:effectLst/>
              <a:sp3d contourW="25400">
                <a:contourClr>
                  <a:schemeClr val="lt1"/>
                </a:contourClr>
              </a:sp3d>
            </c:spPr>
          </c:dPt>
          <c:dPt>
            <c:idx val="26"/>
            <c:bubble3D val="0"/>
            <c:spPr>
              <a:solidFill>
                <a:schemeClr val="accent3">
                  <a:lumMod val="60000"/>
                  <a:lumOff val="40000"/>
                </a:schemeClr>
              </a:solidFill>
              <a:ln w="25400">
                <a:solidFill>
                  <a:schemeClr val="lt1"/>
                </a:solidFill>
              </a:ln>
              <a:effectLst/>
              <a:sp3d contourW="25400">
                <a:contourClr>
                  <a:schemeClr val="lt1"/>
                </a:contourClr>
              </a:sp3d>
            </c:spPr>
          </c:dPt>
          <c:dPt>
            <c:idx val="27"/>
            <c:bubble3D val="0"/>
            <c:spPr>
              <a:solidFill>
                <a:schemeClr val="accent4">
                  <a:lumMod val="60000"/>
                  <a:lumOff val="40000"/>
                </a:schemeClr>
              </a:solidFill>
              <a:ln w="25400">
                <a:solidFill>
                  <a:schemeClr val="lt1"/>
                </a:solidFill>
              </a:ln>
              <a:effectLst/>
              <a:sp3d contourW="25400">
                <a:contourClr>
                  <a:schemeClr val="lt1"/>
                </a:contourClr>
              </a:sp3d>
            </c:spPr>
          </c:dPt>
          <c:dPt>
            <c:idx val="28"/>
            <c:bubble3D val="0"/>
            <c:spPr>
              <a:solidFill>
                <a:schemeClr val="accent5">
                  <a:lumMod val="60000"/>
                  <a:lumOff val="40000"/>
                </a:schemeClr>
              </a:solidFill>
              <a:ln w="25400">
                <a:solidFill>
                  <a:schemeClr val="lt1"/>
                </a:solidFill>
              </a:ln>
              <a:effectLst/>
              <a:sp3d contourW="25400">
                <a:contourClr>
                  <a:schemeClr val="lt1"/>
                </a:contourClr>
              </a:sp3d>
            </c:spPr>
          </c:dPt>
          <c:dPt>
            <c:idx val="29"/>
            <c:bubble3D val="0"/>
            <c:spPr>
              <a:solidFill>
                <a:schemeClr val="accent6">
                  <a:lumMod val="60000"/>
                  <a:lumOff val="40000"/>
                </a:schemeClr>
              </a:solidFill>
              <a:ln w="25400">
                <a:solidFill>
                  <a:schemeClr val="lt1"/>
                </a:solidFill>
              </a:ln>
              <a:effectLst/>
              <a:sp3d contourW="25400">
                <a:contourClr>
                  <a:schemeClr val="lt1"/>
                </a:contourClr>
              </a:sp3d>
            </c:spPr>
          </c:dPt>
          <c:dPt>
            <c:idx val="30"/>
            <c:bubble3D val="0"/>
            <c:spPr>
              <a:solidFill>
                <a:schemeClr val="accent1">
                  <a:lumMod val="50000"/>
                </a:schemeClr>
              </a:solidFill>
              <a:ln w="25400">
                <a:solidFill>
                  <a:schemeClr val="lt1"/>
                </a:solidFill>
              </a:ln>
              <a:effectLst/>
              <a:sp3d contourW="25400">
                <a:contourClr>
                  <a:schemeClr val="lt1"/>
                </a:contourClr>
              </a:sp3d>
            </c:spPr>
          </c:dPt>
          <c:dPt>
            <c:idx val="31"/>
            <c:bubble3D val="0"/>
            <c:spPr>
              <a:solidFill>
                <a:schemeClr val="accent2">
                  <a:lumMod val="50000"/>
                </a:schemeClr>
              </a:solidFill>
              <a:ln w="25400">
                <a:solidFill>
                  <a:schemeClr val="lt1"/>
                </a:solidFill>
              </a:ln>
              <a:effectLst/>
              <a:sp3d contourW="25400">
                <a:contourClr>
                  <a:schemeClr val="lt1"/>
                </a:contourClr>
              </a:sp3d>
            </c:spPr>
          </c:dPt>
          <c:dPt>
            <c:idx val="32"/>
            <c:bubble3D val="0"/>
            <c:spPr>
              <a:solidFill>
                <a:schemeClr val="accent3">
                  <a:lumMod val="5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Plater_Summary!$O$42:$O$75</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Plater_Summary!$P$42:$P$75</c:f>
              <c:numCache>
                <c:formatCode>General</c:formatCode>
                <c:ptCount val="33"/>
                <c:pt idx="0">
                  <c:v>0</c:v>
                </c:pt>
                <c:pt idx="1">
                  <c:v>54</c:v>
                </c:pt>
                <c:pt idx="2">
                  <c:v>58</c:v>
                </c:pt>
                <c:pt idx="3">
                  <c:v>30</c:v>
                </c:pt>
                <c:pt idx="4">
                  <c:v>32.5</c:v>
                </c:pt>
                <c:pt idx="5">
                  <c:v>0</c:v>
                </c:pt>
                <c:pt idx="6">
                  <c:v>0</c:v>
                </c:pt>
                <c:pt idx="7">
                  <c:v>47</c:v>
                </c:pt>
                <c:pt idx="8">
                  <c:v>0</c:v>
                </c:pt>
                <c:pt idx="9">
                  <c:v>7</c:v>
                </c:pt>
                <c:pt idx="10">
                  <c:v>31.25</c:v>
                </c:pt>
                <c:pt idx="11">
                  <c:v>0</c:v>
                </c:pt>
                <c:pt idx="12">
                  <c:v>0</c:v>
                </c:pt>
                <c:pt idx="13">
                  <c:v>69.25</c:v>
                </c:pt>
                <c:pt idx="14">
                  <c:v>0</c:v>
                </c:pt>
                <c:pt idx="15">
                  <c:v>0</c:v>
                </c:pt>
                <c:pt idx="16">
                  <c:v>40.5</c:v>
                </c:pt>
                <c:pt idx="17">
                  <c:v>23</c:v>
                </c:pt>
                <c:pt idx="18">
                  <c:v>0</c:v>
                </c:pt>
                <c:pt idx="19">
                  <c:v>5.25</c:v>
                </c:pt>
                <c:pt idx="20">
                  <c:v>20</c:v>
                </c:pt>
                <c:pt idx="21">
                  <c:v>41.25</c:v>
                </c:pt>
                <c:pt idx="22">
                  <c:v>0</c:v>
                </c:pt>
                <c:pt idx="23">
                  <c:v>0</c:v>
                </c:pt>
                <c:pt idx="24">
                  <c:v>50.5</c:v>
                </c:pt>
                <c:pt idx="25">
                  <c:v>0</c:v>
                </c:pt>
                <c:pt idx="26">
                  <c:v>0</c:v>
                </c:pt>
                <c:pt idx="27">
                  <c:v>0</c:v>
                </c:pt>
                <c:pt idx="28">
                  <c:v>29.25</c:v>
                </c:pt>
                <c:pt idx="29">
                  <c:v>29.61</c:v>
                </c:pt>
                <c:pt idx="30">
                  <c:v>0</c:v>
                </c:pt>
                <c:pt idx="31">
                  <c:v>0</c:v>
                </c:pt>
                <c:pt idx="32">
                  <c:v>45</c:v>
                </c:pt>
              </c:numCache>
            </c:numRef>
          </c:val>
          <c:extLst>
            <c:ext xmlns:c16="http://schemas.microsoft.com/office/drawing/2014/chart" uri="{C3380CC4-5D6E-409C-BE32-E72D297353CC}">
              <c16:uniqueId val="{00000000-2C31-4CF3-8488-7EB8D63D982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2025.xlsx]Plater_Summary!PivotTable6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Plater_Summary!$W$3</c:f>
              <c:strCache>
                <c:ptCount val="1"/>
                <c:pt idx="0">
                  <c:v>Strike_Rate</c:v>
                </c:pt>
              </c:strCache>
            </c:strRef>
          </c:tx>
          <c:spPr>
            <a:solidFill>
              <a:schemeClr val="accent1"/>
            </a:solidFill>
            <a:ln>
              <a:noFill/>
            </a:ln>
            <a:effectLst/>
          </c:spPr>
          <c:invertIfNegative val="0"/>
          <c:cat>
            <c:strRef>
              <c:f>Plater_Summary!$V$4:$V$37</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Plater_Summary!$W$4:$W$37</c:f>
              <c:numCache>
                <c:formatCode>General</c:formatCode>
                <c:ptCount val="33"/>
                <c:pt idx="0">
                  <c:v>1138.2499999999991</c:v>
                </c:pt>
                <c:pt idx="1">
                  <c:v>1311.9499999999998</c:v>
                </c:pt>
                <c:pt idx="2">
                  <c:v>0</c:v>
                </c:pt>
                <c:pt idx="3">
                  <c:v>0</c:v>
                </c:pt>
                <c:pt idx="4">
                  <c:v>0</c:v>
                </c:pt>
                <c:pt idx="5">
                  <c:v>910.16999999999894</c:v>
                </c:pt>
                <c:pt idx="6">
                  <c:v>852.60999999999899</c:v>
                </c:pt>
                <c:pt idx="7">
                  <c:v>0</c:v>
                </c:pt>
                <c:pt idx="8">
                  <c:v>200</c:v>
                </c:pt>
                <c:pt idx="9">
                  <c:v>535</c:v>
                </c:pt>
                <c:pt idx="10">
                  <c:v>755.55999999999892</c:v>
                </c:pt>
                <c:pt idx="11">
                  <c:v>1334.32</c:v>
                </c:pt>
                <c:pt idx="12">
                  <c:v>820.95</c:v>
                </c:pt>
                <c:pt idx="13">
                  <c:v>0</c:v>
                </c:pt>
                <c:pt idx="14">
                  <c:v>252.38</c:v>
                </c:pt>
                <c:pt idx="15">
                  <c:v>1356.7699999999991</c:v>
                </c:pt>
                <c:pt idx="16">
                  <c:v>0</c:v>
                </c:pt>
                <c:pt idx="17">
                  <c:v>0</c:v>
                </c:pt>
                <c:pt idx="18">
                  <c:v>928.69999999999993</c:v>
                </c:pt>
                <c:pt idx="19">
                  <c:v>0</c:v>
                </c:pt>
                <c:pt idx="20">
                  <c:v>671.43000000000006</c:v>
                </c:pt>
                <c:pt idx="21">
                  <c:v>138.88999999999899</c:v>
                </c:pt>
                <c:pt idx="22">
                  <c:v>1199.76</c:v>
                </c:pt>
                <c:pt idx="23">
                  <c:v>1383.3700000000001</c:v>
                </c:pt>
                <c:pt idx="24">
                  <c:v>1376.67</c:v>
                </c:pt>
                <c:pt idx="25">
                  <c:v>851.39</c:v>
                </c:pt>
                <c:pt idx="26">
                  <c:v>453.89</c:v>
                </c:pt>
                <c:pt idx="27">
                  <c:v>1280.68</c:v>
                </c:pt>
                <c:pt idx="28">
                  <c:v>0</c:v>
                </c:pt>
                <c:pt idx="29">
                  <c:v>0</c:v>
                </c:pt>
                <c:pt idx="30">
                  <c:v>2259.8399999999979</c:v>
                </c:pt>
                <c:pt idx="31">
                  <c:v>1435.6699999999998</c:v>
                </c:pt>
                <c:pt idx="32">
                  <c:v>0</c:v>
                </c:pt>
              </c:numCache>
            </c:numRef>
          </c:val>
          <c:extLst>
            <c:ext xmlns:c16="http://schemas.microsoft.com/office/drawing/2014/chart" uri="{C3380CC4-5D6E-409C-BE32-E72D297353CC}">
              <c16:uniqueId val="{00000000-5F73-4000-8747-4A6B70EFE88A}"/>
            </c:ext>
          </c:extLst>
        </c:ser>
        <c:dLbls>
          <c:showLegendKey val="0"/>
          <c:showVal val="0"/>
          <c:showCatName val="0"/>
          <c:showSerName val="0"/>
          <c:showPercent val="0"/>
          <c:showBubbleSize val="0"/>
        </c:dLbls>
        <c:gapWidth val="219"/>
        <c:overlap val="-27"/>
        <c:axId val="2056396016"/>
        <c:axId val="2056392656"/>
      </c:barChart>
      <c:lineChart>
        <c:grouping val="standard"/>
        <c:varyColors val="0"/>
        <c:ser>
          <c:idx val="1"/>
          <c:order val="1"/>
          <c:tx>
            <c:strRef>
              <c:f>Plater_Summary!$X$3</c:f>
              <c:strCache>
                <c:ptCount val="1"/>
                <c:pt idx="0">
                  <c:v>PlayerAverageStrikeRate</c:v>
                </c:pt>
              </c:strCache>
            </c:strRef>
          </c:tx>
          <c:spPr>
            <a:ln w="28575" cap="rnd">
              <a:solidFill>
                <a:schemeClr val="accent2"/>
              </a:solidFill>
              <a:round/>
            </a:ln>
            <a:effectLst/>
          </c:spPr>
          <c:marker>
            <c:symbol val="none"/>
          </c:marker>
          <c:cat>
            <c:strRef>
              <c:f>Plater_Summary!$V$4:$V$37</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Plater_Summary!$X$4:$X$37</c:f>
              <c:numCache>
                <c:formatCode>#,##0.00</c:formatCode>
                <c:ptCount val="33"/>
                <c:pt idx="0">
                  <c:v>162.60714285714272</c:v>
                </c:pt>
                <c:pt idx="1">
                  <c:v>187.42142857142855</c:v>
                </c:pt>
                <c:pt idx="2">
                  <c:v>0</c:v>
                </c:pt>
                <c:pt idx="3">
                  <c:v>0</c:v>
                </c:pt>
                <c:pt idx="4">
                  <c:v>0</c:v>
                </c:pt>
                <c:pt idx="5">
                  <c:v>151.69499999999982</c:v>
                </c:pt>
                <c:pt idx="6">
                  <c:v>142.10166666666649</c:v>
                </c:pt>
                <c:pt idx="7">
                  <c:v>0</c:v>
                </c:pt>
                <c:pt idx="8">
                  <c:v>200</c:v>
                </c:pt>
                <c:pt idx="9">
                  <c:v>133.75</c:v>
                </c:pt>
                <c:pt idx="10">
                  <c:v>151.1119999999998</c:v>
                </c:pt>
                <c:pt idx="11">
                  <c:v>190.61714285714285</c:v>
                </c:pt>
                <c:pt idx="12">
                  <c:v>136.82500000000002</c:v>
                </c:pt>
                <c:pt idx="13">
                  <c:v>0</c:v>
                </c:pt>
                <c:pt idx="14">
                  <c:v>126.19</c:v>
                </c:pt>
                <c:pt idx="15">
                  <c:v>169.59624999999988</c:v>
                </c:pt>
                <c:pt idx="16">
                  <c:v>0</c:v>
                </c:pt>
                <c:pt idx="17">
                  <c:v>0</c:v>
                </c:pt>
                <c:pt idx="18">
                  <c:v>154.78333333333333</c:v>
                </c:pt>
                <c:pt idx="19">
                  <c:v>0</c:v>
                </c:pt>
                <c:pt idx="20">
                  <c:v>111.90500000000002</c:v>
                </c:pt>
                <c:pt idx="21">
                  <c:v>27.7779999999998</c:v>
                </c:pt>
                <c:pt idx="22">
                  <c:v>149.97</c:v>
                </c:pt>
                <c:pt idx="23">
                  <c:v>172.92125000000001</c:v>
                </c:pt>
                <c:pt idx="24">
                  <c:v>172.08375000000001</c:v>
                </c:pt>
                <c:pt idx="25">
                  <c:v>170.27799999999999</c:v>
                </c:pt>
                <c:pt idx="26">
                  <c:v>151.29666666666665</c:v>
                </c:pt>
                <c:pt idx="27">
                  <c:v>160.08500000000001</c:v>
                </c:pt>
                <c:pt idx="28">
                  <c:v>0</c:v>
                </c:pt>
                <c:pt idx="29">
                  <c:v>0</c:v>
                </c:pt>
                <c:pt idx="30">
                  <c:v>150.65599999999986</c:v>
                </c:pt>
                <c:pt idx="31">
                  <c:v>159.51888888888888</c:v>
                </c:pt>
                <c:pt idx="32">
                  <c:v>0</c:v>
                </c:pt>
              </c:numCache>
            </c:numRef>
          </c:val>
          <c:smooth val="0"/>
          <c:extLst>
            <c:ext xmlns:c16="http://schemas.microsoft.com/office/drawing/2014/chart" uri="{C3380CC4-5D6E-409C-BE32-E72D297353CC}">
              <c16:uniqueId val="{00000001-5F73-4000-8747-4A6B70EFE88A}"/>
            </c:ext>
          </c:extLst>
        </c:ser>
        <c:dLbls>
          <c:showLegendKey val="0"/>
          <c:showVal val="0"/>
          <c:showCatName val="0"/>
          <c:showSerName val="0"/>
          <c:showPercent val="0"/>
          <c:showBubbleSize val="0"/>
        </c:dLbls>
        <c:marker val="1"/>
        <c:smooth val="0"/>
        <c:axId val="2056404176"/>
        <c:axId val="2056402736"/>
      </c:lineChart>
      <c:catAx>
        <c:axId val="205639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392656"/>
        <c:crosses val="autoZero"/>
        <c:auto val="1"/>
        <c:lblAlgn val="ctr"/>
        <c:lblOffset val="100"/>
        <c:noMultiLvlLbl val="0"/>
      </c:catAx>
      <c:valAx>
        <c:axId val="205639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396016"/>
        <c:crosses val="autoZero"/>
        <c:crossBetween val="between"/>
      </c:valAx>
      <c:valAx>
        <c:axId val="205640273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404176"/>
        <c:crosses val="max"/>
        <c:crossBetween val="between"/>
      </c:valAx>
      <c:catAx>
        <c:axId val="2056404176"/>
        <c:scaling>
          <c:orientation val="minMax"/>
        </c:scaling>
        <c:delete val="1"/>
        <c:axPos val="b"/>
        <c:numFmt formatCode="General" sourceLinked="1"/>
        <c:majorTickMark val="out"/>
        <c:minorTickMark val="none"/>
        <c:tickLblPos val="nextTo"/>
        <c:crossAx val="2056402736"/>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2025.xlsx]Plater_Summary!PivotTable5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Player</a:t>
            </a:r>
            <a:r>
              <a:rPr lang="en-IN" baseline="0"/>
              <a:t> VS Economy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Plater_Summary!$P$41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ED2-423F-B892-E5AFD34A519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ED2-423F-B892-E5AFD34A519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ED2-423F-B892-E5AFD34A519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ED2-423F-B892-E5AFD34A519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ED2-423F-B892-E5AFD34A519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EED2-423F-B892-E5AFD34A5192}"/>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EED2-423F-B892-E5AFD34A5192}"/>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EED2-423F-B892-E5AFD34A5192}"/>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EED2-423F-B892-E5AFD34A5192}"/>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EED2-423F-B892-E5AFD34A5192}"/>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EED2-423F-B892-E5AFD34A5192}"/>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EED2-423F-B892-E5AFD34A5192}"/>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EED2-423F-B892-E5AFD34A5192}"/>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EED2-423F-B892-E5AFD34A5192}"/>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EED2-423F-B892-E5AFD34A5192}"/>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EED2-423F-B892-E5AFD34A5192}"/>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EED2-423F-B892-E5AFD34A5192}"/>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EED2-423F-B892-E5AFD34A5192}"/>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EED2-423F-B892-E5AFD34A5192}"/>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EED2-423F-B892-E5AFD34A5192}"/>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EED2-423F-B892-E5AFD34A5192}"/>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EED2-423F-B892-E5AFD34A5192}"/>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EED2-423F-B892-E5AFD34A5192}"/>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EED2-423F-B892-E5AFD34A5192}"/>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EED2-423F-B892-E5AFD34A5192}"/>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EED2-423F-B892-E5AFD34A5192}"/>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EED2-423F-B892-E5AFD34A5192}"/>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EED2-423F-B892-E5AFD34A5192}"/>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EED2-423F-B892-E5AFD34A5192}"/>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EED2-423F-B892-E5AFD34A5192}"/>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EED2-423F-B892-E5AFD34A5192}"/>
              </c:ext>
            </c:extLst>
          </c:dPt>
          <c:dPt>
            <c:idx val="3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EED2-423F-B892-E5AFD34A5192}"/>
              </c:ext>
            </c:extLst>
          </c:dPt>
          <c:dPt>
            <c:idx val="32"/>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1-EED2-423F-B892-E5AFD34A51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Plater_Summary!$O$42:$O$75</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Plater_Summary!$P$42:$P$75</c:f>
              <c:numCache>
                <c:formatCode>General</c:formatCode>
                <c:ptCount val="33"/>
                <c:pt idx="0">
                  <c:v>0</c:v>
                </c:pt>
                <c:pt idx="1">
                  <c:v>54</c:v>
                </c:pt>
                <c:pt idx="2">
                  <c:v>58</c:v>
                </c:pt>
                <c:pt idx="3">
                  <c:v>30</c:v>
                </c:pt>
                <c:pt idx="4">
                  <c:v>32.5</c:v>
                </c:pt>
                <c:pt idx="5">
                  <c:v>0</c:v>
                </c:pt>
                <c:pt idx="6">
                  <c:v>0</c:v>
                </c:pt>
                <c:pt idx="7">
                  <c:v>47</c:v>
                </c:pt>
                <c:pt idx="8">
                  <c:v>0</c:v>
                </c:pt>
                <c:pt idx="9">
                  <c:v>7</c:v>
                </c:pt>
                <c:pt idx="10">
                  <c:v>31.25</c:v>
                </c:pt>
                <c:pt idx="11">
                  <c:v>0</c:v>
                </c:pt>
                <c:pt idx="12">
                  <c:v>0</c:v>
                </c:pt>
                <c:pt idx="13">
                  <c:v>69.25</c:v>
                </c:pt>
                <c:pt idx="14">
                  <c:v>0</c:v>
                </c:pt>
                <c:pt idx="15">
                  <c:v>0</c:v>
                </c:pt>
                <c:pt idx="16">
                  <c:v>40.5</c:v>
                </c:pt>
                <c:pt idx="17">
                  <c:v>23</c:v>
                </c:pt>
                <c:pt idx="18">
                  <c:v>0</c:v>
                </c:pt>
                <c:pt idx="19">
                  <c:v>5.25</c:v>
                </c:pt>
                <c:pt idx="20">
                  <c:v>20</c:v>
                </c:pt>
                <c:pt idx="21">
                  <c:v>41.25</c:v>
                </c:pt>
                <c:pt idx="22">
                  <c:v>0</c:v>
                </c:pt>
                <c:pt idx="23">
                  <c:v>0</c:v>
                </c:pt>
                <c:pt idx="24">
                  <c:v>50.5</c:v>
                </c:pt>
                <c:pt idx="25">
                  <c:v>0</c:v>
                </c:pt>
                <c:pt idx="26">
                  <c:v>0</c:v>
                </c:pt>
                <c:pt idx="27">
                  <c:v>0</c:v>
                </c:pt>
                <c:pt idx="28">
                  <c:v>29.25</c:v>
                </c:pt>
                <c:pt idx="29">
                  <c:v>29.61</c:v>
                </c:pt>
                <c:pt idx="30">
                  <c:v>0</c:v>
                </c:pt>
                <c:pt idx="31">
                  <c:v>0</c:v>
                </c:pt>
                <c:pt idx="32">
                  <c:v>45</c:v>
                </c:pt>
              </c:numCache>
            </c:numRef>
          </c:val>
          <c:extLst>
            <c:ext xmlns:c16="http://schemas.microsoft.com/office/drawing/2014/chart" uri="{C3380CC4-5D6E-409C-BE32-E72D297353CC}">
              <c16:uniqueId val="{00000042-EED2-423F-B892-E5AFD34A519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a:t>
            </a:r>
            <a:r>
              <a:rPr lang="en-US" baseline="0"/>
              <a:t> VS Total Runs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Plater_Summary!$K$3</c:f>
              <c:strCache>
                <c:ptCount val="1"/>
                <c:pt idx="0">
                  <c:v>Total Runs</c:v>
                </c:pt>
              </c:strCache>
            </c:strRef>
          </c:tx>
          <c:spPr>
            <a:ln w="28575" cap="rnd">
              <a:solidFill>
                <a:schemeClr val="accent2"/>
              </a:solidFill>
              <a:round/>
            </a:ln>
            <a:effectLst/>
          </c:spPr>
          <c:marker>
            <c:symbol val="none"/>
          </c:marker>
          <c:cat>
            <c:strRef>
              <c:f>Plater_Summary!$J$4:$J$37</c:f>
              <c:strCache>
                <c:ptCount val="34"/>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pt idx="33">
                  <c:v>Grand Total</c:v>
                </c:pt>
              </c:strCache>
            </c:strRef>
          </c:cat>
          <c:val>
            <c:numRef>
              <c:f>Plater_Summary!$K$4:$K$37</c:f>
              <c:numCache>
                <c:formatCode>General</c:formatCode>
                <c:ptCount val="34"/>
                <c:pt idx="0">
                  <c:v>440</c:v>
                </c:pt>
                <c:pt idx="1">
                  <c:v>368</c:v>
                </c:pt>
                <c:pt idx="2">
                  <c:v>0</c:v>
                </c:pt>
                <c:pt idx="3">
                  <c:v>0</c:v>
                </c:pt>
                <c:pt idx="4">
                  <c:v>0</c:v>
                </c:pt>
                <c:pt idx="5">
                  <c:v>261</c:v>
                </c:pt>
                <c:pt idx="6">
                  <c:v>300</c:v>
                </c:pt>
                <c:pt idx="7">
                  <c:v>0</c:v>
                </c:pt>
                <c:pt idx="8">
                  <c:v>42</c:v>
                </c:pt>
                <c:pt idx="9">
                  <c:v>151</c:v>
                </c:pt>
                <c:pt idx="10">
                  <c:v>180</c:v>
                </c:pt>
                <c:pt idx="11">
                  <c:v>482</c:v>
                </c:pt>
                <c:pt idx="12">
                  <c:v>278</c:v>
                </c:pt>
                <c:pt idx="13">
                  <c:v>0</c:v>
                </c:pt>
                <c:pt idx="14">
                  <c:v>82</c:v>
                </c:pt>
                <c:pt idx="15">
                  <c:v>597</c:v>
                </c:pt>
                <c:pt idx="16">
                  <c:v>0</c:v>
                </c:pt>
                <c:pt idx="17">
                  <c:v>0</c:v>
                </c:pt>
                <c:pt idx="18">
                  <c:v>345</c:v>
                </c:pt>
                <c:pt idx="19">
                  <c:v>0</c:v>
                </c:pt>
                <c:pt idx="20">
                  <c:v>210</c:v>
                </c:pt>
                <c:pt idx="21">
                  <c:v>25</c:v>
                </c:pt>
                <c:pt idx="22">
                  <c:v>382</c:v>
                </c:pt>
                <c:pt idx="23">
                  <c:v>491</c:v>
                </c:pt>
                <c:pt idx="24">
                  <c:v>171</c:v>
                </c:pt>
                <c:pt idx="25">
                  <c:v>386</c:v>
                </c:pt>
                <c:pt idx="26">
                  <c:v>132</c:v>
                </c:pt>
                <c:pt idx="27">
                  <c:v>550</c:v>
                </c:pt>
                <c:pt idx="28">
                  <c:v>0</c:v>
                </c:pt>
                <c:pt idx="29">
                  <c:v>0</c:v>
                </c:pt>
                <c:pt idx="30">
                  <c:v>982</c:v>
                </c:pt>
                <c:pt idx="31">
                  <c:v>608</c:v>
                </c:pt>
                <c:pt idx="32">
                  <c:v>0</c:v>
                </c:pt>
                <c:pt idx="33">
                  <c:v>7463</c:v>
                </c:pt>
              </c:numCache>
            </c:numRef>
          </c:val>
          <c:smooth val="0"/>
          <c:extLst>
            <c:ext xmlns:c16="http://schemas.microsoft.com/office/drawing/2014/chart" uri="{C3380CC4-5D6E-409C-BE32-E72D297353CC}">
              <c16:uniqueId val="{00000000-7BCE-4A3D-BBB7-230368A8603C}"/>
            </c:ext>
          </c:extLst>
        </c:ser>
        <c:dLbls>
          <c:showLegendKey val="0"/>
          <c:showVal val="0"/>
          <c:showCatName val="0"/>
          <c:showSerName val="0"/>
          <c:showPercent val="0"/>
          <c:showBubbleSize val="0"/>
        </c:dLbls>
        <c:smooth val="0"/>
        <c:axId val="2049284896"/>
        <c:axId val="2049282496"/>
      </c:lineChart>
      <c:catAx>
        <c:axId val="204928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282496"/>
        <c:crosses val="autoZero"/>
        <c:auto val="1"/>
        <c:lblAlgn val="ctr"/>
        <c:lblOffset val="100"/>
        <c:noMultiLvlLbl val="0"/>
      </c:catAx>
      <c:valAx>
        <c:axId val="2049282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28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2025.xlsx]Plater_Summary!PivotTable4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Players</a:t>
            </a:r>
            <a:r>
              <a:rPr lang="en-IN" baseline="0"/>
              <a:t> VS </a:t>
            </a:r>
            <a:r>
              <a:rPr lang="en-IN"/>
              <a:t>Total Wickets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Plater_Summary!$B$41</c:f>
              <c:strCache>
                <c:ptCount val="1"/>
                <c:pt idx="0">
                  <c:v>Total</c:v>
                </c:pt>
              </c:strCache>
            </c:strRef>
          </c:tx>
          <c:spPr>
            <a:ln w="28575" cap="rnd">
              <a:solidFill>
                <a:schemeClr val="accent6"/>
              </a:solidFill>
              <a:round/>
            </a:ln>
            <a:effectLst/>
          </c:spPr>
          <c:marker>
            <c:symbol val="none"/>
          </c:marker>
          <c:cat>
            <c:strRef>
              <c:f>Plater_Summary!$A$42:$A$75</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Plater_Summary!$B$42:$B$75</c:f>
              <c:numCache>
                <c:formatCode>General</c:formatCode>
                <c:ptCount val="33"/>
                <c:pt idx="0">
                  <c:v>0</c:v>
                </c:pt>
                <c:pt idx="1">
                  <c:v>11</c:v>
                </c:pt>
                <c:pt idx="2">
                  <c:v>19</c:v>
                </c:pt>
                <c:pt idx="3">
                  <c:v>9</c:v>
                </c:pt>
                <c:pt idx="4">
                  <c:v>6</c:v>
                </c:pt>
                <c:pt idx="5">
                  <c:v>0</c:v>
                </c:pt>
                <c:pt idx="6">
                  <c:v>0</c:v>
                </c:pt>
                <c:pt idx="7">
                  <c:v>17</c:v>
                </c:pt>
                <c:pt idx="8">
                  <c:v>0</c:v>
                </c:pt>
                <c:pt idx="9">
                  <c:v>2</c:v>
                </c:pt>
                <c:pt idx="10">
                  <c:v>6</c:v>
                </c:pt>
                <c:pt idx="11">
                  <c:v>0</c:v>
                </c:pt>
                <c:pt idx="12">
                  <c:v>0</c:v>
                </c:pt>
                <c:pt idx="13">
                  <c:v>25</c:v>
                </c:pt>
                <c:pt idx="14">
                  <c:v>0</c:v>
                </c:pt>
                <c:pt idx="15">
                  <c:v>0</c:v>
                </c:pt>
                <c:pt idx="16">
                  <c:v>6</c:v>
                </c:pt>
                <c:pt idx="17">
                  <c:v>10</c:v>
                </c:pt>
                <c:pt idx="18">
                  <c:v>0</c:v>
                </c:pt>
                <c:pt idx="19">
                  <c:v>3</c:v>
                </c:pt>
                <c:pt idx="20">
                  <c:v>2</c:v>
                </c:pt>
                <c:pt idx="21">
                  <c:v>9</c:v>
                </c:pt>
                <c:pt idx="22">
                  <c:v>0</c:v>
                </c:pt>
                <c:pt idx="23">
                  <c:v>0</c:v>
                </c:pt>
                <c:pt idx="24">
                  <c:v>16</c:v>
                </c:pt>
                <c:pt idx="25">
                  <c:v>0</c:v>
                </c:pt>
                <c:pt idx="26">
                  <c:v>0</c:v>
                </c:pt>
                <c:pt idx="27">
                  <c:v>0</c:v>
                </c:pt>
                <c:pt idx="28">
                  <c:v>13</c:v>
                </c:pt>
                <c:pt idx="29">
                  <c:v>15</c:v>
                </c:pt>
                <c:pt idx="30">
                  <c:v>0</c:v>
                </c:pt>
                <c:pt idx="31">
                  <c:v>0</c:v>
                </c:pt>
                <c:pt idx="32">
                  <c:v>9</c:v>
                </c:pt>
              </c:numCache>
            </c:numRef>
          </c:val>
          <c:smooth val="0"/>
          <c:extLst>
            <c:ext xmlns:c16="http://schemas.microsoft.com/office/drawing/2014/chart" uri="{C3380CC4-5D6E-409C-BE32-E72D297353CC}">
              <c16:uniqueId val="{00000000-76F4-4DDF-9586-3CD1486A9605}"/>
            </c:ext>
          </c:extLst>
        </c:ser>
        <c:dLbls>
          <c:showLegendKey val="0"/>
          <c:showVal val="0"/>
          <c:showCatName val="0"/>
          <c:showSerName val="0"/>
          <c:showPercent val="0"/>
          <c:showBubbleSize val="0"/>
        </c:dLbls>
        <c:smooth val="0"/>
        <c:axId val="1024734431"/>
        <c:axId val="1024736831"/>
      </c:lineChart>
      <c:catAx>
        <c:axId val="102473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736831"/>
        <c:crosses val="autoZero"/>
        <c:auto val="1"/>
        <c:lblAlgn val="ctr"/>
        <c:lblOffset val="100"/>
        <c:noMultiLvlLbl val="0"/>
      </c:catAx>
      <c:valAx>
        <c:axId val="1024736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73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2025.xlsx]Plater_Summary!PivotTable6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Plater_Summary!$W$3</c:f>
              <c:strCache>
                <c:ptCount val="1"/>
                <c:pt idx="0">
                  <c:v>Strike_Rate</c:v>
                </c:pt>
              </c:strCache>
            </c:strRef>
          </c:tx>
          <c:spPr>
            <a:solidFill>
              <a:schemeClr val="accent1"/>
            </a:solidFill>
            <a:ln>
              <a:noFill/>
            </a:ln>
            <a:effectLst/>
          </c:spPr>
          <c:invertIfNegative val="0"/>
          <c:cat>
            <c:strRef>
              <c:f>Plater_Summary!$V$4:$V$37</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Plater_Summary!$W$4:$W$37</c:f>
              <c:numCache>
                <c:formatCode>General</c:formatCode>
                <c:ptCount val="33"/>
                <c:pt idx="0">
                  <c:v>1138.2499999999991</c:v>
                </c:pt>
                <c:pt idx="1">
                  <c:v>1311.9499999999998</c:v>
                </c:pt>
                <c:pt idx="2">
                  <c:v>0</c:v>
                </c:pt>
                <c:pt idx="3">
                  <c:v>0</c:v>
                </c:pt>
                <c:pt idx="4">
                  <c:v>0</c:v>
                </c:pt>
                <c:pt idx="5">
                  <c:v>910.16999999999894</c:v>
                </c:pt>
                <c:pt idx="6">
                  <c:v>852.60999999999899</c:v>
                </c:pt>
                <c:pt idx="7">
                  <c:v>0</c:v>
                </c:pt>
                <c:pt idx="8">
                  <c:v>200</c:v>
                </c:pt>
                <c:pt idx="9">
                  <c:v>535</c:v>
                </c:pt>
                <c:pt idx="10">
                  <c:v>755.55999999999892</c:v>
                </c:pt>
                <c:pt idx="11">
                  <c:v>1334.32</c:v>
                </c:pt>
                <c:pt idx="12">
                  <c:v>820.95</c:v>
                </c:pt>
                <c:pt idx="13">
                  <c:v>0</c:v>
                </c:pt>
                <c:pt idx="14">
                  <c:v>252.38</c:v>
                </c:pt>
                <c:pt idx="15">
                  <c:v>1356.7699999999991</c:v>
                </c:pt>
                <c:pt idx="16">
                  <c:v>0</c:v>
                </c:pt>
                <c:pt idx="17">
                  <c:v>0</c:v>
                </c:pt>
                <c:pt idx="18">
                  <c:v>928.69999999999993</c:v>
                </c:pt>
                <c:pt idx="19">
                  <c:v>0</c:v>
                </c:pt>
                <c:pt idx="20">
                  <c:v>671.43000000000006</c:v>
                </c:pt>
                <c:pt idx="21">
                  <c:v>138.88999999999899</c:v>
                </c:pt>
                <c:pt idx="22">
                  <c:v>1199.76</c:v>
                </c:pt>
                <c:pt idx="23">
                  <c:v>1383.3700000000001</c:v>
                </c:pt>
                <c:pt idx="24">
                  <c:v>1376.67</c:v>
                </c:pt>
                <c:pt idx="25">
                  <c:v>851.39</c:v>
                </c:pt>
                <c:pt idx="26">
                  <c:v>453.89</c:v>
                </c:pt>
                <c:pt idx="27">
                  <c:v>1280.68</c:v>
                </c:pt>
                <c:pt idx="28">
                  <c:v>0</c:v>
                </c:pt>
                <c:pt idx="29">
                  <c:v>0</c:v>
                </c:pt>
                <c:pt idx="30">
                  <c:v>2259.8399999999979</c:v>
                </c:pt>
                <c:pt idx="31">
                  <c:v>1435.6699999999998</c:v>
                </c:pt>
                <c:pt idx="32">
                  <c:v>0</c:v>
                </c:pt>
              </c:numCache>
            </c:numRef>
          </c:val>
          <c:extLst>
            <c:ext xmlns:c16="http://schemas.microsoft.com/office/drawing/2014/chart" uri="{C3380CC4-5D6E-409C-BE32-E72D297353CC}">
              <c16:uniqueId val="{00000000-538E-48A4-9D20-6FDAFE7F94BF}"/>
            </c:ext>
          </c:extLst>
        </c:ser>
        <c:dLbls>
          <c:showLegendKey val="0"/>
          <c:showVal val="0"/>
          <c:showCatName val="0"/>
          <c:showSerName val="0"/>
          <c:showPercent val="0"/>
          <c:showBubbleSize val="0"/>
        </c:dLbls>
        <c:gapWidth val="219"/>
        <c:overlap val="-27"/>
        <c:axId val="2056396016"/>
        <c:axId val="2056392656"/>
      </c:barChart>
      <c:lineChart>
        <c:grouping val="standard"/>
        <c:varyColors val="0"/>
        <c:ser>
          <c:idx val="1"/>
          <c:order val="1"/>
          <c:tx>
            <c:strRef>
              <c:f>Plater_Summary!$X$3</c:f>
              <c:strCache>
                <c:ptCount val="1"/>
                <c:pt idx="0">
                  <c:v>PlayerAverageStrikeRate</c:v>
                </c:pt>
              </c:strCache>
            </c:strRef>
          </c:tx>
          <c:spPr>
            <a:ln w="28575" cap="rnd">
              <a:solidFill>
                <a:schemeClr val="accent2"/>
              </a:solidFill>
              <a:round/>
            </a:ln>
            <a:effectLst/>
          </c:spPr>
          <c:marker>
            <c:symbol val="none"/>
          </c:marker>
          <c:cat>
            <c:strRef>
              <c:f>Plater_Summary!$V$4:$V$37</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Plater_Summary!$X$4:$X$37</c:f>
              <c:numCache>
                <c:formatCode>#,##0.00</c:formatCode>
                <c:ptCount val="33"/>
                <c:pt idx="0">
                  <c:v>162.60714285714272</c:v>
                </c:pt>
                <c:pt idx="1">
                  <c:v>187.42142857142855</c:v>
                </c:pt>
                <c:pt idx="2">
                  <c:v>0</c:v>
                </c:pt>
                <c:pt idx="3">
                  <c:v>0</c:v>
                </c:pt>
                <c:pt idx="4">
                  <c:v>0</c:v>
                </c:pt>
                <c:pt idx="5">
                  <c:v>151.69499999999982</c:v>
                </c:pt>
                <c:pt idx="6">
                  <c:v>142.10166666666649</c:v>
                </c:pt>
                <c:pt idx="7">
                  <c:v>0</c:v>
                </c:pt>
                <c:pt idx="8">
                  <c:v>200</c:v>
                </c:pt>
                <c:pt idx="9">
                  <c:v>133.75</c:v>
                </c:pt>
                <c:pt idx="10">
                  <c:v>151.1119999999998</c:v>
                </c:pt>
                <c:pt idx="11">
                  <c:v>190.61714285714285</c:v>
                </c:pt>
                <c:pt idx="12">
                  <c:v>136.82500000000002</c:v>
                </c:pt>
                <c:pt idx="13">
                  <c:v>0</c:v>
                </c:pt>
                <c:pt idx="14">
                  <c:v>126.19</c:v>
                </c:pt>
                <c:pt idx="15">
                  <c:v>169.59624999999988</c:v>
                </c:pt>
                <c:pt idx="16">
                  <c:v>0</c:v>
                </c:pt>
                <c:pt idx="17">
                  <c:v>0</c:v>
                </c:pt>
                <c:pt idx="18">
                  <c:v>154.78333333333333</c:v>
                </c:pt>
                <c:pt idx="19">
                  <c:v>0</c:v>
                </c:pt>
                <c:pt idx="20">
                  <c:v>111.90500000000002</c:v>
                </c:pt>
                <c:pt idx="21">
                  <c:v>27.7779999999998</c:v>
                </c:pt>
                <c:pt idx="22">
                  <c:v>149.97</c:v>
                </c:pt>
                <c:pt idx="23">
                  <c:v>172.92125000000001</c:v>
                </c:pt>
                <c:pt idx="24">
                  <c:v>172.08375000000001</c:v>
                </c:pt>
                <c:pt idx="25">
                  <c:v>170.27799999999999</c:v>
                </c:pt>
                <c:pt idx="26">
                  <c:v>151.29666666666665</c:v>
                </c:pt>
                <c:pt idx="27">
                  <c:v>160.08500000000001</c:v>
                </c:pt>
                <c:pt idx="28">
                  <c:v>0</c:v>
                </c:pt>
                <c:pt idx="29">
                  <c:v>0</c:v>
                </c:pt>
                <c:pt idx="30">
                  <c:v>150.65599999999986</c:v>
                </c:pt>
                <c:pt idx="31">
                  <c:v>159.51888888888888</c:v>
                </c:pt>
                <c:pt idx="32">
                  <c:v>0</c:v>
                </c:pt>
              </c:numCache>
            </c:numRef>
          </c:val>
          <c:smooth val="0"/>
          <c:extLst>
            <c:ext xmlns:c16="http://schemas.microsoft.com/office/drawing/2014/chart" uri="{C3380CC4-5D6E-409C-BE32-E72D297353CC}">
              <c16:uniqueId val="{00000001-538E-48A4-9D20-6FDAFE7F94BF}"/>
            </c:ext>
          </c:extLst>
        </c:ser>
        <c:dLbls>
          <c:showLegendKey val="0"/>
          <c:showVal val="0"/>
          <c:showCatName val="0"/>
          <c:showSerName val="0"/>
          <c:showPercent val="0"/>
          <c:showBubbleSize val="0"/>
        </c:dLbls>
        <c:marker val="1"/>
        <c:smooth val="0"/>
        <c:axId val="2056404176"/>
        <c:axId val="2056402736"/>
      </c:lineChart>
      <c:catAx>
        <c:axId val="205639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392656"/>
        <c:crosses val="autoZero"/>
        <c:auto val="1"/>
        <c:lblAlgn val="ctr"/>
        <c:lblOffset val="100"/>
        <c:noMultiLvlLbl val="0"/>
      </c:catAx>
      <c:valAx>
        <c:axId val="205639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396016"/>
        <c:crosses val="autoZero"/>
        <c:crossBetween val="between"/>
      </c:valAx>
      <c:valAx>
        <c:axId val="205640273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404176"/>
        <c:crosses val="max"/>
        <c:crossBetween val="between"/>
      </c:valAx>
      <c:catAx>
        <c:axId val="2056404176"/>
        <c:scaling>
          <c:orientation val="minMax"/>
        </c:scaling>
        <c:delete val="1"/>
        <c:axPos val="b"/>
        <c:numFmt formatCode="General" sourceLinked="1"/>
        <c:majorTickMark val="out"/>
        <c:minorTickMark val="none"/>
        <c:tickLblPos val="nextTo"/>
        <c:crossAx val="205640273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2025.xlsx]Team_Summary!PivotTable11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 Vs Wins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65013909604911724"/>
          <c:y val="0.34040775708723614"/>
          <c:w val="0.2659875743380179"/>
          <c:h val="0.49404236792675799"/>
        </c:manualLayout>
      </c:layout>
      <c:bar3DChart>
        <c:barDir val="bar"/>
        <c:grouping val="stacked"/>
        <c:varyColors val="0"/>
        <c:ser>
          <c:idx val="0"/>
          <c:order val="0"/>
          <c:tx>
            <c:strRef>
              <c:f>Team_Summary!$B$16</c:f>
              <c:strCache>
                <c:ptCount val="1"/>
                <c:pt idx="0">
                  <c:v>Total</c:v>
                </c:pt>
              </c:strCache>
            </c:strRef>
          </c:tx>
          <c:spPr>
            <a:solidFill>
              <a:schemeClr val="accent6"/>
            </a:solidFill>
            <a:ln>
              <a:noFill/>
            </a:ln>
            <a:effectLst/>
            <a:sp3d/>
          </c:spPr>
          <c:invertIfNegative val="0"/>
          <c:cat>
            <c:strRef>
              <c:f>Team_Summary!$A$17:$A$26</c:f>
              <c:strCache>
                <c:ptCount val="9"/>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pt idx="8">
                  <c:v>(blank)</c:v>
                </c:pt>
              </c:strCache>
            </c:strRef>
          </c:cat>
          <c:val>
            <c:numRef>
              <c:f>Team_Summary!$B$17:$B$26</c:f>
              <c:numCache>
                <c:formatCode>0</c:formatCode>
                <c:ptCount val="9"/>
                <c:pt idx="0">
                  <c:v>5</c:v>
                </c:pt>
                <c:pt idx="1">
                  <c:v>2</c:v>
                </c:pt>
                <c:pt idx="2">
                  <c:v>4</c:v>
                </c:pt>
                <c:pt idx="3">
                  <c:v>4</c:v>
                </c:pt>
                <c:pt idx="4">
                  <c:v>2</c:v>
                </c:pt>
                <c:pt idx="5">
                  <c:v>4</c:v>
                </c:pt>
                <c:pt idx="6">
                  <c:v>4</c:v>
                </c:pt>
                <c:pt idx="7">
                  <c:v>5</c:v>
                </c:pt>
                <c:pt idx="8">
                  <c:v>0</c:v>
                </c:pt>
              </c:numCache>
            </c:numRef>
          </c:val>
          <c:extLst>
            <c:ext xmlns:c16="http://schemas.microsoft.com/office/drawing/2014/chart" uri="{C3380CC4-5D6E-409C-BE32-E72D297353CC}">
              <c16:uniqueId val="{00000000-DCA2-416B-92AB-399F0981535C}"/>
            </c:ext>
          </c:extLst>
        </c:ser>
        <c:dLbls>
          <c:showLegendKey val="0"/>
          <c:showVal val="0"/>
          <c:showCatName val="0"/>
          <c:showSerName val="0"/>
          <c:showPercent val="0"/>
          <c:showBubbleSize val="0"/>
        </c:dLbls>
        <c:gapWidth val="150"/>
        <c:shape val="box"/>
        <c:axId val="1600620592"/>
        <c:axId val="733637392"/>
        <c:axId val="0"/>
      </c:bar3DChart>
      <c:catAx>
        <c:axId val="1600620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637392"/>
        <c:crosses val="autoZero"/>
        <c:auto val="1"/>
        <c:lblAlgn val="ctr"/>
        <c:lblOffset val="100"/>
        <c:noMultiLvlLbl val="0"/>
      </c:catAx>
      <c:valAx>
        <c:axId val="7336373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620592"/>
        <c:crosses val="autoZero"/>
        <c:crossBetween val="between"/>
      </c:valAx>
      <c:spPr>
        <a:noFill/>
        <a:ln>
          <a:noFill/>
        </a:ln>
        <a:effectLst/>
      </c:spPr>
    </c:plotArea>
    <c:legend>
      <c:legendPos val="r"/>
      <c:layout>
        <c:manualLayout>
          <c:xMode val="edge"/>
          <c:yMode val="edge"/>
          <c:x val="0.89454715737625312"/>
          <c:y val="0.58923959149656058"/>
          <c:w val="9.4135004147171103E-2"/>
          <c:h val="8.703762029746282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2025.xlsx]Team_Summary!PivotTable12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 Vs Total Runs</a:t>
            </a:r>
          </a:p>
          <a:p>
            <a:pPr>
              <a:defRPr/>
            </a:pPr>
            <a:endParaRPr lang="en-US"/>
          </a:p>
        </c:rich>
      </c:tx>
      <c:layout>
        <c:manualLayout>
          <c:xMode val="edge"/>
          <c:yMode val="edge"/>
          <c:x val="0.17170634286307443"/>
          <c:y val="0.14296994042237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4064547966665437"/>
          <c:y val="0.25601788474903675"/>
          <c:w val="0.62924915721027375"/>
          <c:h val="0.22993662377568658"/>
        </c:manualLayout>
      </c:layout>
      <c:bar3DChart>
        <c:barDir val="col"/>
        <c:grouping val="stacked"/>
        <c:varyColors val="0"/>
        <c:ser>
          <c:idx val="0"/>
          <c:order val="0"/>
          <c:tx>
            <c:strRef>
              <c:f>Team_Summary!$I$3</c:f>
              <c:strCache>
                <c:ptCount val="1"/>
                <c:pt idx="0">
                  <c:v>Total</c:v>
                </c:pt>
              </c:strCache>
            </c:strRef>
          </c:tx>
          <c:spPr>
            <a:solidFill>
              <a:schemeClr val="accent2"/>
            </a:solidFill>
            <a:ln>
              <a:noFill/>
            </a:ln>
            <a:effectLst/>
            <a:sp3d/>
          </c:spPr>
          <c:invertIfNegative val="0"/>
          <c:cat>
            <c:strRef>
              <c:f>Team_Summary!$H$4:$H$12</c:f>
              <c:strCache>
                <c:ptCount val="8"/>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strCache>
            </c:strRef>
          </c:cat>
          <c:val>
            <c:numRef>
              <c:f>Team_Summary!$I$4:$I$12</c:f>
              <c:numCache>
                <c:formatCode>General</c:formatCode>
                <c:ptCount val="8"/>
                <c:pt idx="0">
                  <c:v>2869</c:v>
                </c:pt>
                <c:pt idx="1">
                  <c:v>2420</c:v>
                </c:pt>
                <c:pt idx="2">
                  <c:v>2788</c:v>
                </c:pt>
                <c:pt idx="3">
                  <c:v>2735</c:v>
                </c:pt>
                <c:pt idx="4">
                  <c:v>2458</c:v>
                </c:pt>
                <c:pt idx="5">
                  <c:v>2318</c:v>
                </c:pt>
                <c:pt idx="6">
                  <c:v>2600</c:v>
                </c:pt>
                <c:pt idx="7">
                  <c:v>2756</c:v>
                </c:pt>
              </c:numCache>
            </c:numRef>
          </c:val>
          <c:extLst>
            <c:ext xmlns:c16="http://schemas.microsoft.com/office/drawing/2014/chart" uri="{C3380CC4-5D6E-409C-BE32-E72D297353CC}">
              <c16:uniqueId val="{00000000-3FE1-4DCD-9B8E-C54E90728C44}"/>
            </c:ext>
          </c:extLst>
        </c:ser>
        <c:dLbls>
          <c:showLegendKey val="0"/>
          <c:showVal val="0"/>
          <c:showCatName val="0"/>
          <c:showSerName val="0"/>
          <c:showPercent val="0"/>
          <c:showBubbleSize val="0"/>
        </c:dLbls>
        <c:gapWidth val="150"/>
        <c:shape val="box"/>
        <c:axId val="731471312"/>
        <c:axId val="731467952"/>
        <c:axId val="0"/>
      </c:bar3DChart>
      <c:catAx>
        <c:axId val="731471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467952"/>
        <c:crosses val="autoZero"/>
        <c:auto val="1"/>
        <c:lblAlgn val="ctr"/>
        <c:lblOffset val="100"/>
        <c:noMultiLvlLbl val="0"/>
      </c:catAx>
      <c:valAx>
        <c:axId val="731467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47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[IPL Dashboard 2025.xlsx]Team_Summary!PivotTable13</c:name>
    <c:fmtId val="1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Win</a:t>
            </a:r>
            <a:r>
              <a:rPr lang="en-US" baseline="0"/>
              <a:t> Type</a:t>
            </a:r>
          </a:p>
          <a:p>
            <a:pPr>
              <a:defRPr/>
            </a:pPr>
            <a:endParaRPr lang="en-US"/>
          </a:p>
        </c:rich>
      </c:tx>
      <c:layout>
        <c:manualLayout>
          <c:xMode val="edge"/>
          <c:yMode val="edge"/>
          <c:x val="0.320767393026822"/>
          <c:y val="0.1475474077908443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hade val="76000"/>
            </a:schemeClr>
          </a:solidFill>
          <a:ln>
            <a:noFill/>
          </a:ln>
          <a:effectLst>
            <a:outerShdw blurRad="317500" algn="ctr" rotWithShape="0">
              <a:prstClr val="black">
                <a:alpha val="25000"/>
              </a:prstClr>
            </a:outerShdw>
          </a:effectLst>
        </c:spPr>
      </c:pivotFmt>
      <c:pivotFmt>
        <c:idx val="3"/>
        <c:spPr>
          <a:solidFill>
            <a:schemeClr val="accent2">
              <a:tint val="77000"/>
            </a:schemeClr>
          </a:solidFill>
          <a:ln>
            <a:noFill/>
          </a:ln>
          <a:effectLst>
            <a:outerShdw blurRad="317500" algn="ctr" rotWithShape="0">
              <a:prstClr val="black">
                <a:alpha val="25000"/>
              </a:prstClr>
            </a:outerShdw>
          </a:effectLst>
        </c:spPr>
      </c:pivotFmt>
      <c:pivotFmt>
        <c:idx val="4"/>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hade val="76000"/>
            </a:schemeClr>
          </a:solidFill>
          <a:ln>
            <a:noFill/>
          </a:ln>
          <a:effectLst>
            <a:outerShdw blurRad="317500" algn="ctr" rotWithShape="0">
              <a:prstClr val="black">
                <a:alpha val="25000"/>
              </a:prstClr>
            </a:outerShdw>
          </a:effectLst>
        </c:spPr>
      </c:pivotFmt>
      <c:pivotFmt>
        <c:idx val="6"/>
        <c:spPr>
          <a:solidFill>
            <a:schemeClr val="accent2">
              <a:tint val="77000"/>
            </a:schemeClr>
          </a:solidFill>
          <a:ln>
            <a:noFill/>
          </a:ln>
          <a:effectLst>
            <a:outerShdw blurRad="317500" algn="ctr" rotWithShape="0">
              <a:prstClr val="black">
                <a:alpha val="25000"/>
              </a:prstClr>
            </a:outerShdw>
          </a:effectLst>
        </c:spPr>
      </c:pivotFmt>
    </c:pivotFmts>
    <c:plotArea>
      <c:layout/>
      <c:pieChart>
        <c:varyColors val="1"/>
        <c:ser>
          <c:idx val="0"/>
          <c:order val="0"/>
          <c:tx>
            <c:strRef>
              <c:f>Team_Summary!$N$3</c:f>
              <c:strCache>
                <c:ptCount val="1"/>
                <c:pt idx="0">
                  <c:v>Total</c:v>
                </c:pt>
              </c:strCache>
            </c:strRef>
          </c:tx>
          <c:dPt>
            <c:idx val="0"/>
            <c:bubble3D val="0"/>
            <c:spPr>
              <a:solidFill>
                <a:schemeClr val="accent2">
                  <a:shade val="76000"/>
                </a:schemeClr>
              </a:solidFill>
              <a:ln>
                <a:noFill/>
              </a:ln>
              <a:effectLst>
                <a:outerShdw blurRad="317500" algn="ctr" rotWithShape="0">
                  <a:prstClr val="black">
                    <a:alpha val="25000"/>
                  </a:prstClr>
                </a:outerShdw>
              </a:effectLst>
            </c:spPr>
          </c:dPt>
          <c:dPt>
            <c:idx val="1"/>
            <c:bubble3D val="0"/>
            <c:spPr>
              <a:solidFill>
                <a:schemeClr val="accent2">
                  <a:tint val="77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Team_Summary!$M$4:$M$6</c:f>
              <c:strCache>
                <c:ptCount val="2"/>
                <c:pt idx="0">
                  <c:v>Win by Runs</c:v>
                </c:pt>
                <c:pt idx="1">
                  <c:v>win by Wickets</c:v>
                </c:pt>
              </c:strCache>
            </c:strRef>
          </c:cat>
          <c:val>
            <c:numRef>
              <c:f>Team_Summary!$N$4:$N$6</c:f>
              <c:numCache>
                <c:formatCode>General</c:formatCode>
                <c:ptCount val="2"/>
                <c:pt idx="0">
                  <c:v>13297</c:v>
                </c:pt>
                <c:pt idx="1">
                  <c:v>7647</c:v>
                </c:pt>
              </c:numCache>
            </c:numRef>
          </c:val>
          <c:extLst>
            <c:ext xmlns:c16="http://schemas.microsoft.com/office/drawing/2014/chart" uri="{C3380CC4-5D6E-409C-BE32-E72D297353CC}">
              <c16:uniqueId val="{00000004-DA5D-4F70-8AB9-B15EE172CC0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[IPL Dashboard 2025.xlsx]Team_Summary!PivotTable14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Venue</a:t>
            </a:r>
            <a:r>
              <a:rPr lang="en-US" baseline="0"/>
              <a:t> Vs Matches</a:t>
            </a:r>
            <a:endParaRPr lang="en-US"/>
          </a:p>
        </c:rich>
      </c:tx>
      <c:layout>
        <c:manualLayout>
          <c:xMode val="edge"/>
          <c:yMode val="edge"/>
          <c:x val="0.39150619641175893"/>
          <c:y val="0.1446376284023417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Team_Summary!$B$28</c:f>
              <c:strCache>
                <c:ptCount val="1"/>
                <c:pt idx="0">
                  <c:v>Total</c:v>
                </c:pt>
              </c:strCache>
            </c:strRef>
          </c:tx>
          <c:spPr>
            <a:solidFill>
              <a:schemeClr val="accent4"/>
            </a:solidFill>
            <a:ln>
              <a:noFill/>
            </a:ln>
            <a:effectLst/>
          </c:spPr>
          <c:invertIfNegative val="0"/>
          <c:cat>
            <c:strRef>
              <c:f>Team_Summary!$A$29:$A$40</c:f>
              <c:strCache>
                <c:ptCount val="11"/>
                <c:pt idx="0">
                  <c:v>Arun Jaitley Stadium</c:v>
                </c:pt>
                <c:pt idx="1">
                  <c:v>Bharat Ratna Shri Atal Bihari Vajpayee Ekana Cricket Stadium</c:v>
                </c:pt>
                <c:pt idx="2">
                  <c:v>Eden Gardens</c:v>
                </c:pt>
                <c:pt idx="3">
                  <c:v>M. A. Chidambaram Stadium</c:v>
                </c:pt>
                <c:pt idx="4">
                  <c:v>M. Chinnaswamy Stadium</c:v>
                </c:pt>
                <c:pt idx="5">
                  <c:v>Maharaja Yadavindra Singh Int. Cricket Stadium</c:v>
                </c:pt>
                <c:pt idx="6">
                  <c:v>Narendra Modi Stadium</c:v>
                </c:pt>
                <c:pt idx="7">
                  <c:v>Rajiv Gandhi Int. Stadium</c:v>
                </c:pt>
                <c:pt idx="8">
                  <c:v>Sawai Mansingh Stadium</c:v>
                </c:pt>
                <c:pt idx="9">
                  <c:v>Wankhede Stadium</c:v>
                </c:pt>
                <c:pt idx="10">
                  <c:v>(blank)</c:v>
                </c:pt>
              </c:strCache>
            </c:strRef>
          </c:cat>
          <c:val>
            <c:numRef>
              <c:f>Team_Summary!$B$29:$B$40</c:f>
              <c:numCache>
                <c:formatCode>General</c:formatCode>
                <c:ptCount val="11"/>
                <c:pt idx="0">
                  <c:v>8</c:v>
                </c:pt>
                <c:pt idx="1">
                  <c:v>8</c:v>
                </c:pt>
                <c:pt idx="2">
                  <c:v>8</c:v>
                </c:pt>
                <c:pt idx="3">
                  <c:v>8</c:v>
                </c:pt>
                <c:pt idx="4">
                  <c:v>8</c:v>
                </c:pt>
                <c:pt idx="5">
                  <c:v>8</c:v>
                </c:pt>
                <c:pt idx="6">
                  <c:v>8</c:v>
                </c:pt>
                <c:pt idx="7">
                  <c:v>8</c:v>
                </c:pt>
                <c:pt idx="8">
                  <c:v>8</c:v>
                </c:pt>
                <c:pt idx="9">
                  <c:v>8</c:v>
                </c:pt>
                <c:pt idx="10">
                  <c:v>8</c:v>
                </c:pt>
              </c:numCache>
            </c:numRef>
          </c:val>
          <c:extLst>
            <c:ext xmlns:c16="http://schemas.microsoft.com/office/drawing/2014/chart" uri="{C3380CC4-5D6E-409C-BE32-E72D297353CC}">
              <c16:uniqueId val="{00000000-15A0-483C-A54F-332CD6B0BE27}"/>
            </c:ext>
          </c:extLst>
        </c:ser>
        <c:dLbls>
          <c:showLegendKey val="0"/>
          <c:showVal val="0"/>
          <c:showCatName val="0"/>
          <c:showSerName val="0"/>
          <c:showPercent val="0"/>
          <c:showBubbleSize val="0"/>
        </c:dLbls>
        <c:gapWidth val="150"/>
        <c:overlap val="100"/>
        <c:axId val="786327936"/>
        <c:axId val="786321696"/>
      </c:barChart>
      <c:catAx>
        <c:axId val="786327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321696"/>
        <c:crosses val="autoZero"/>
        <c:auto val="1"/>
        <c:lblAlgn val="ctr"/>
        <c:lblOffset val="100"/>
        <c:noMultiLvlLbl val="0"/>
      </c:catAx>
      <c:valAx>
        <c:axId val="78632169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32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image" Target="../media/image1.png"/><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openxmlformats.org/officeDocument/2006/relationships/image" Target="../media/image1.png"/><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117401</xdr:colOff>
      <xdr:row>13</xdr:row>
      <xdr:rowOff>73764</xdr:rowOff>
    </xdr:from>
    <xdr:to>
      <xdr:col>5</xdr:col>
      <xdr:colOff>166133</xdr:colOff>
      <xdr:row>21</xdr:row>
      <xdr:rowOff>132907</xdr:rowOff>
    </xdr:to>
    <xdr:graphicFrame macro="">
      <xdr:nvGraphicFramePr>
        <xdr:cNvPr id="2" name="Chart 1">
          <a:extLst>
            <a:ext uri="{FF2B5EF4-FFF2-40B4-BE49-F238E27FC236}">
              <a16:creationId xmlns:a16="http://schemas.microsoft.com/office/drawing/2014/main" id="{51D40CCE-2850-6ABB-3BD1-48817CF33B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431947</xdr:colOff>
      <xdr:row>12</xdr:row>
      <xdr:rowOff>129141</xdr:rowOff>
    </xdr:from>
    <xdr:to>
      <xdr:col>9</xdr:col>
      <xdr:colOff>365494</xdr:colOff>
      <xdr:row>24</xdr:row>
      <xdr:rowOff>44303</xdr:rowOff>
    </xdr:to>
    <xdr:graphicFrame macro="">
      <xdr:nvGraphicFramePr>
        <xdr:cNvPr id="3" name="Chart 2">
          <a:extLst>
            <a:ext uri="{FF2B5EF4-FFF2-40B4-BE49-F238E27FC236}">
              <a16:creationId xmlns:a16="http://schemas.microsoft.com/office/drawing/2014/main" id="{08396191-75BE-16E6-132B-0BB36A8F65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296955</xdr:colOff>
      <xdr:row>7</xdr:row>
      <xdr:rowOff>141194</xdr:rowOff>
    </xdr:from>
    <xdr:to>
      <xdr:col>15</xdr:col>
      <xdr:colOff>11205</xdr:colOff>
      <xdr:row>19</xdr:row>
      <xdr:rowOff>44824</xdr:rowOff>
    </xdr:to>
    <xdr:graphicFrame macro="">
      <xdr:nvGraphicFramePr>
        <xdr:cNvPr id="4" name="Chart 3">
          <a:extLst>
            <a:ext uri="{FF2B5EF4-FFF2-40B4-BE49-F238E27FC236}">
              <a16:creationId xmlns:a16="http://schemas.microsoft.com/office/drawing/2014/main" id="{E0F46475-0E84-EA06-AAE3-946E6EE042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179294</xdr:colOff>
      <xdr:row>27</xdr:row>
      <xdr:rowOff>11206</xdr:rowOff>
    </xdr:from>
    <xdr:to>
      <xdr:col>6</xdr:col>
      <xdr:colOff>526675</xdr:colOff>
      <xdr:row>38</xdr:row>
      <xdr:rowOff>179294</xdr:rowOff>
    </xdr:to>
    <xdr:graphicFrame macro="">
      <xdr:nvGraphicFramePr>
        <xdr:cNvPr id="5" name="Chart 4">
          <a:extLst>
            <a:ext uri="{FF2B5EF4-FFF2-40B4-BE49-F238E27FC236}">
              <a16:creationId xmlns:a16="http://schemas.microsoft.com/office/drawing/2014/main" id="{4FD7D35F-FA9E-97F3-6A95-E5C32734A1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314574</xdr:colOff>
      <xdr:row>2</xdr:row>
      <xdr:rowOff>113547</xdr:rowOff>
    </xdr:from>
    <xdr:to>
      <xdr:col>18</xdr:col>
      <xdr:colOff>587791</xdr:colOff>
      <xdr:row>17</xdr:row>
      <xdr:rowOff>36846</xdr:rowOff>
    </xdr:to>
    <xdr:graphicFrame macro="">
      <xdr:nvGraphicFramePr>
        <xdr:cNvPr id="2" name="Chart 1">
          <a:extLst>
            <a:ext uri="{FF2B5EF4-FFF2-40B4-BE49-F238E27FC236}">
              <a16:creationId xmlns:a16="http://schemas.microsoft.com/office/drawing/2014/main" id="{B929E34C-D608-48F4-26ED-266136B9BF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452437</xdr:colOff>
      <xdr:row>48</xdr:row>
      <xdr:rowOff>13284</xdr:rowOff>
    </xdr:from>
    <xdr:to>
      <xdr:col>9</xdr:col>
      <xdr:colOff>587792</xdr:colOff>
      <xdr:row>62</xdr:row>
      <xdr:rowOff>124576</xdr:rowOff>
    </xdr:to>
    <xdr:graphicFrame macro="">
      <xdr:nvGraphicFramePr>
        <xdr:cNvPr id="3" name="Chart 2">
          <a:extLst>
            <a:ext uri="{FF2B5EF4-FFF2-40B4-BE49-F238E27FC236}">
              <a16:creationId xmlns:a16="http://schemas.microsoft.com/office/drawing/2014/main" id="{BB493D66-4C2A-9F58-8DC5-C386855FD6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151647</xdr:colOff>
      <xdr:row>47</xdr:row>
      <xdr:rowOff>38350</xdr:rowOff>
    </xdr:from>
    <xdr:to>
      <xdr:col>23</xdr:col>
      <xdr:colOff>299535</xdr:colOff>
      <xdr:row>61</xdr:row>
      <xdr:rowOff>149642</xdr:rowOff>
    </xdr:to>
    <xdr:graphicFrame macro="">
      <xdr:nvGraphicFramePr>
        <xdr:cNvPr id="4" name="Chart 3">
          <a:extLst>
            <a:ext uri="{FF2B5EF4-FFF2-40B4-BE49-F238E27FC236}">
              <a16:creationId xmlns:a16="http://schemas.microsoft.com/office/drawing/2014/main" id="{936E93BE-5FBB-E467-8B09-FEABFD9EBE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565233</xdr:colOff>
      <xdr:row>2</xdr:row>
      <xdr:rowOff>63416</xdr:rowOff>
    </xdr:from>
    <xdr:to>
      <xdr:col>32</xdr:col>
      <xdr:colOff>124075</xdr:colOff>
      <xdr:row>16</xdr:row>
      <xdr:rowOff>174708</xdr:rowOff>
    </xdr:to>
    <xdr:graphicFrame macro="">
      <xdr:nvGraphicFramePr>
        <xdr:cNvPr id="5" name="Chart 4">
          <a:extLst>
            <a:ext uri="{FF2B5EF4-FFF2-40B4-BE49-F238E27FC236}">
              <a16:creationId xmlns:a16="http://schemas.microsoft.com/office/drawing/2014/main" id="{B31A9AB9-3949-209D-9030-4D57A5D854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1</xdr:colOff>
      <xdr:row>0</xdr:row>
      <xdr:rowOff>19051</xdr:rowOff>
    </xdr:from>
    <xdr:to>
      <xdr:col>19</xdr:col>
      <xdr:colOff>597867</xdr:colOff>
      <xdr:row>13</xdr:row>
      <xdr:rowOff>180976</xdr:rowOff>
    </xdr:to>
    <xdr:graphicFrame macro="">
      <xdr:nvGraphicFramePr>
        <xdr:cNvPr id="2" name="Chart 1">
          <a:extLst>
            <a:ext uri="{FF2B5EF4-FFF2-40B4-BE49-F238E27FC236}">
              <a16:creationId xmlns:a16="http://schemas.microsoft.com/office/drawing/2014/main" id="{C6D1043A-5D2E-4C71-AC39-A60DA769E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13</xdr:row>
      <xdr:rowOff>190499</xdr:rowOff>
    </xdr:from>
    <xdr:to>
      <xdr:col>11</xdr:col>
      <xdr:colOff>0</xdr:colOff>
      <xdr:row>29</xdr:row>
      <xdr:rowOff>180974</xdr:rowOff>
    </xdr:to>
    <xdr:graphicFrame macro="">
      <xdr:nvGraphicFramePr>
        <xdr:cNvPr id="3" name="Chart 2">
          <a:extLst>
            <a:ext uri="{FF2B5EF4-FFF2-40B4-BE49-F238E27FC236}">
              <a16:creationId xmlns:a16="http://schemas.microsoft.com/office/drawing/2014/main" id="{F776FDCF-4AD4-4AF4-A085-55728BA41C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609599</xdr:colOff>
      <xdr:row>13</xdr:row>
      <xdr:rowOff>190499</xdr:rowOff>
    </xdr:from>
    <xdr:to>
      <xdr:col>22</xdr:col>
      <xdr:colOff>9524</xdr:colOff>
      <xdr:row>29</xdr:row>
      <xdr:rowOff>180974</xdr:rowOff>
    </xdr:to>
    <xdr:graphicFrame macro="">
      <xdr:nvGraphicFramePr>
        <xdr:cNvPr id="4" name="Chart 3">
          <a:extLst>
            <a:ext uri="{FF2B5EF4-FFF2-40B4-BE49-F238E27FC236}">
              <a16:creationId xmlns:a16="http://schemas.microsoft.com/office/drawing/2014/main" id="{41D6B48C-D1FA-4FDA-90EE-DA372819B5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29</xdr:row>
      <xdr:rowOff>190499</xdr:rowOff>
    </xdr:from>
    <xdr:to>
      <xdr:col>22</xdr:col>
      <xdr:colOff>0</xdr:colOff>
      <xdr:row>45</xdr:row>
      <xdr:rowOff>180974</xdr:rowOff>
    </xdr:to>
    <xdr:graphicFrame macro="">
      <xdr:nvGraphicFramePr>
        <xdr:cNvPr id="5" name="Chart 4">
          <a:extLst>
            <a:ext uri="{FF2B5EF4-FFF2-40B4-BE49-F238E27FC236}">
              <a16:creationId xmlns:a16="http://schemas.microsoft.com/office/drawing/2014/main" id="{B0299818-246E-43C4-8DBD-0052543C3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220870</xdr:colOff>
      <xdr:row>0</xdr:row>
      <xdr:rowOff>0</xdr:rowOff>
    </xdr:from>
    <xdr:to>
      <xdr:col>6</xdr:col>
      <xdr:colOff>262282</xdr:colOff>
      <xdr:row>13</xdr:row>
      <xdr:rowOff>179457</xdr:rowOff>
    </xdr:to>
    <xdr:pic>
      <xdr:nvPicPr>
        <xdr:cNvPr id="7" name="Picture 6">
          <a:extLst>
            <a:ext uri="{FF2B5EF4-FFF2-40B4-BE49-F238E27FC236}">
              <a16:creationId xmlns:a16="http://schemas.microsoft.com/office/drawing/2014/main" id="{71082064-E860-7C29-197B-3CEC3B1704B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20870" y="0"/>
          <a:ext cx="3685760" cy="269184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581397</xdr:colOff>
      <xdr:row>1</xdr:row>
      <xdr:rowOff>12370</xdr:rowOff>
    </xdr:from>
    <xdr:to>
      <xdr:col>9</xdr:col>
      <xdr:colOff>593766</xdr:colOff>
      <xdr:row>10</xdr:row>
      <xdr:rowOff>1</xdr:rowOff>
    </xdr:to>
    <xdr:sp macro="" textlink="">
      <xdr:nvSpPr>
        <xdr:cNvPr id="8" name="Rectangle 7">
          <a:extLst>
            <a:ext uri="{FF2B5EF4-FFF2-40B4-BE49-F238E27FC236}">
              <a16:creationId xmlns:a16="http://schemas.microsoft.com/office/drawing/2014/main" id="{F1F53425-5AC5-9D8A-ACEF-5007623A6A31}"/>
            </a:ext>
          </a:extLst>
        </xdr:cNvPr>
        <xdr:cNvSpPr/>
      </xdr:nvSpPr>
      <xdr:spPr>
        <a:xfrm>
          <a:off x="3005942" y="197922"/>
          <a:ext cx="3043051" cy="165759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530555</xdr:colOff>
      <xdr:row>10</xdr:row>
      <xdr:rowOff>1</xdr:rowOff>
    </xdr:from>
    <xdr:to>
      <xdr:col>8</xdr:col>
      <xdr:colOff>476250</xdr:colOff>
      <xdr:row>23</xdr:row>
      <xdr:rowOff>95251</xdr:rowOff>
    </xdr:to>
    <xdr:graphicFrame macro="">
      <xdr:nvGraphicFramePr>
        <xdr:cNvPr id="2" name="Chart 1">
          <a:extLst>
            <a:ext uri="{FF2B5EF4-FFF2-40B4-BE49-F238E27FC236}">
              <a16:creationId xmlns:a16="http://schemas.microsoft.com/office/drawing/2014/main" id="{C4EB2BE2-306B-4666-92D2-74680057D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408215</xdr:colOff>
      <xdr:row>10</xdr:row>
      <xdr:rowOff>68036</xdr:rowOff>
    </xdr:from>
    <xdr:to>
      <xdr:col>19</xdr:col>
      <xdr:colOff>149679</xdr:colOff>
      <xdr:row>26</xdr:row>
      <xdr:rowOff>0</xdr:rowOff>
    </xdr:to>
    <xdr:graphicFrame macro="">
      <xdr:nvGraphicFramePr>
        <xdr:cNvPr id="3" name="Chart 2">
          <a:extLst>
            <a:ext uri="{FF2B5EF4-FFF2-40B4-BE49-F238E27FC236}">
              <a16:creationId xmlns:a16="http://schemas.microsoft.com/office/drawing/2014/main" id="{A8CB0EA3-2D7A-4794-8E33-D6D40258C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496623</xdr:colOff>
      <xdr:row>27</xdr:row>
      <xdr:rowOff>17320</xdr:rowOff>
    </xdr:from>
    <xdr:to>
      <xdr:col>16</xdr:col>
      <xdr:colOff>312964</xdr:colOff>
      <xdr:row>39</xdr:row>
      <xdr:rowOff>13607</xdr:rowOff>
    </xdr:to>
    <xdr:graphicFrame macro="">
      <xdr:nvGraphicFramePr>
        <xdr:cNvPr id="4" name="Chart 3">
          <a:extLst>
            <a:ext uri="{FF2B5EF4-FFF2-40B4-BE49-F238E27FC236}">
              <a16:creationId xmlns:a16="http://schemas.microsoft.com/office/drawing/2014/main" id="{46FFF77A-BC1B-4D43-9C66-6F9DDE963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496968</xdr:colOff>
      <xdr:row>25</xdr:row>
      <xdr:rowOff>0</xdr:rowOff>
    </xdr:from>
    <xdr:to>
      <xdr:col>8</xdr:col>
      <xdr:colOff>435429</xdr:colOff>
      <xdr:row>37</xdr:row>
      <xdr:rowOff>119583</xdr:rowOff>
    </xdr:to>
    <xdr:graphicFrame macro="">
      <xdr:nvGraphicFramePr>
        <xdr:cNvPr id="5" name="Chart 4">
          <a:extLst>
            <a:ext uri="{FF2B5EF4-FFF2-40B4-BE49-F238E27FC236}">
              <a16:creationId xmlns:a16="http://schemas.microsoft.com/office/drawing/2014/main" id="{C01CAA4E-3E8A-40A3-BCB3-E1E00E37E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210293</xdr:colOff>
      <xdr:row>0</xdr:row>
      <xdr:rowOff>173182</xdr:rowOff>
    </xdr:from>
    <xdr:to>
      <xdr:col>3</xdr:col>
      <xdr:colOff>247403</xdr:colOff>
      <xdr:row>8</xdr:row>
      <xdr:rowOff>123702</xdr:rowOff>
    </xdr:to>
    <xdr:pic>
      <xdr:nvPicPr>
        <xdr:cNvPr id="7" name="Picture 6">
          <a:extLst>
            <a:ext uri="{FF2B5EF4-FFF2-40B4-BE49-F238E27FC236}">
              <a16:creationId xmlns:a16="http://schemas.microsoft.com/office/drawing/2014/main" id="{369A52FB-A1EE-6507-C491-F451436BD73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10293" y="173182"/>
          <a:ext cx="1855519" cy="1434936"/>
        </a:xfrm>
        <a:prstGeom prst="rect">
          <a:avLst/>
        </a:prstGeom>
      </xdr:spPr>
    </xdr:pic>
    <xdr:clientData/>
  </xdr:twoCellAnchor>
  <xdr:oneCellAnchor>
    <xdr:from>
      <xdr:col>5</xdr:col>
      <xdr:colOff>432954</xdr:colOff>
      <xdr:row>1</xdr:row>
      <xdr:rowOff>74221</xdr:rowOff>
    </xdr:from>
    <xdr:ext cx="2313215" cy="530658"/>
    <xdr:sp macro="" textlink="">
      <xdr:nvSpPr>
        <xdr:cNvPr id="11" name="TextBox 10">
          <a:extLst>
            <a:ext uri="{FF2B5EF4-FFF2-40B4-BE49-F238E27FC236}">
              <a16:creationId xmlns:a16="http://schemas.microsoft.com/office/drawing/2014/main" id="{8BBEF056-5C16-AB82-0F46-8EC4E9EC6F41}"/>
            </a:ext>
          </a:extLst>
        </xdr:cNvPr>
        <xdr:cNvSpPr txBox="1"/>
      </xdr:nvSpPr>
      <xdr:spPr>
        <a:xfrm>
          <a:off x="3463636" y="259773"/>
          <a:ext cx="231321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800" b="1"/>
            <a:t>Total Matches </a:t>
          </a:r>
        </a:p>
      </xdr:txBody>
    </xdr:sp>
    <xdr:clientData/>
  </xdr:oneCellAnchor>
  <xdr:twoCellAnchor editAs="oneCell">
    <xdr:from>
      <xdr:col>24</xdr:col>
      <xdr:colOff>195697</xdr:colOff>
      <xdr:row>11</xdr:row>
      <xdr:rowOff>122341</xdr:rowOff>
    </xdr:from>
    <xdr:to>
      <xdr:col>27</xdr:col>
      <xdr:colOff>206087</xdr:colOff>
      <xdr:row>25</xdr:row>
      <xdr:rowOff>43790</xdr:rowOff>
    </xdr:to>
    <mc:AlternateContent xmlns:mc="http://schemas.openxmlformats.org/markup-compatibility/2006" xmlns:a14="http://schemas.microsoft.com/office/drawing/2010/main">
      <mc:Choice Requires="a14">
        <xdr:graphicFrame macro="">
          <xdr:nvGraphicFramePr>
            <xdr:cNvPr id="12" name="Team_Name">
              <a:extLst>
                <a:ext uri="{FF2B5EF4-FFF2-40B4-BE49-F238E27FC236}">
                  <a16:creationId xmlns:a16="http://schemas.microsoft.com/office/drawing/2014/main" id="{0DF2979D-5145-8743-5239-09ED922000B4}"/>
                </a:ext>
              </a:extLst>
            </xdr:cNvPr>
            <xdr:cNvGraphicFramePr/>
          </xdr:nvGraphicFramePr>
          <xdr:xfrm>
            <a:off x="0" y="0"/>
            <a:ext cx="0" cy="0"/>
          </xdr:xfrm>
          <a:graphic>
            <a:graphicData uri="http://schemas.microsoft.com/office/drawing/2010/slicer">
              <sle:slicer xmlns:sle="http://schemas.microsoft.com/office/drawing/2010/slicer" name="Team_Name"/>
            </a:graphicData>
          </a:graphic>
        </xdr:graphicFrame>
      </mc:Choice>
      <mc:Fallback xmlns="">
        <xdr:sp macro="" textlink="">
          <xdr:nvSpPr>
            <xdr:cNvPr id="0" name=""/>
            <xdr:cNvSpPr>
              <a:spLocks noTextEdit="1"/>
            </xdr:cNvSpPr>
          </xdr:nvSpPr>
          <xdr:spPr>
            <a:xfrm>
              <a:off x="14891411" y="2217841"/>
              <a:ext cx="1847355" cy="2588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566800</xdr:colOff>
      <xdr:row>11</xdr:row>
      <xdr:rowOff>161927</xdr:rowOff>
    </xdr:from>
    <xdr:to>
      <xdr:col>22</xdr:col>
      <xdr:colOff>577192</xdr:colOff>
      <xdr:row>25</xdr:row>
      <xdr:rowOff>83376</xdr:rowOff>
    </xdr:to>
    <mc:AlternateContent xmlns:mc="http://schemas.openxmlformats.org/markup-compatibility/2006" xmlns:a14="http://schemas.microsoft.com/office/drawing/2010/main">
      <mc:Choice Requires="a14">
        <xdr:graphicFrame macro="">
          <xdr:nvGraphicFramePr>
            <xdr:cNvPr id="13" name="Venue_Name">
              <a:extLst>
                <a:ext uri="{FF2B5EF4-FFF2-40B4-BE49-F238E27FC236}">
                  <a16:creationId xmlns:a16="http://schemas.microsoft.com/office/drawing/2014/main" id="{50F4CA26-A786-020D-75BD-6084343BFEBE}"/>
                </a:ext>
              </a:extLst>
            </xdr:cNvPr>
            <xdr:cNvGraphicFramePr/>
          </xdr:nvGraphicFramePr>
          <xdr:xfrm>
            <a:off x="0" y="0"/>
            <a:ext cx="0" cy="0"/>
          </xdr:xfrm>
          <a:graphic>
            <a:graphicData uri="http://schemas.microsoft.com/office/drawing/2010/slicer">
              <sle:slicer xmlns:sle="http://schemas.microsoft.com/office/drawing/2010/slicer" name="Venue_Name"/>
            </a:graphicData>
          </a:graphic>
        </xdr:graphicFrame>
      </mc:Choice>
      <mc:Fallback xmlns="">
        <xdr:sp macro="" textlink="">
          <xdr:nvSpPr>
            <xdr:cNvPr id="0" name=""/>
            <xdr:cNvSpPr>
              <a:spLocks noTextEdit="1"/>
            </xdr:cNvSpPr>
          </xdr:nvSpPr>
          <xdr:spPr>
            <a:xfrm>
              <a:off x="12200907" y="2257427"/>
              <a:ext cx="1847356" cy="2588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11</xdr:col>
      <xdr:colOff>420585</xdr:colOff>
      <xdr:row>1</xdr:row>
      <xdr:rowOff>24741</xdr:rowOff>
    </xdr:from>
    <xdr:ext cx="2350324" cy="531916"/>
    <xdr:sp macro="" textlink="">
      <xdr:nvSpPr>
        <xdr:cNvPr id="16" name="TextBox 15">
          <a:extLst>
            <a:ext uri="{FF2B5EF4-FFF2-40B4-BE49-F238E27FC236}">
              <a16:creationId xmlns:a16="http://schemas.microsoft.com/office/drawing/2014/main" id="{02127CFD-3981-42E1-A8C2-9D9440138D55}"/>
            </a:ext>
          </a:extLst>
        </xdr:cNvPr>
        <xdr:cNvSpPr txBox="1"/>
      </xdr:nvSpPr>
      <xdr:spPr>
        <a:xfrm>
          <a:off x="7088085" y="210293"/>
          <a:ext cx="2350324" cy="5319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2800" b="1"/>
        </a:p>
      </xdr:txBody>
    </xdr:sp>
    <xdr:clientData/>
  </xdr:oneCellAnchor>
  <xdr:twoCellAnchor>
    <xdr:from>
      <xdr:col>10</xdr:col>
      <xdr:colOff>593767</xdr:colOff>
      <xdr:row>1</xdr:row>
      <xdr:rowOff>0</xdr:rowOff>
    </xdr:from>
    <xdr:to>
      <xdr:col>16</xdr:col>
      <xdr:colOff>-1</xdr:colOff>
      <xdr:row>9</xdr:row>
      <xdr:rowOff>173182</xdr:rowOff>
    </xdr:to>
    <xdr:sp macro="" textlink="">
      <xdr:nvSpPr>
        <xdr:cNvPr id="17" name="Rectangle 16">
          <a:extLst>
            <a:ext uri="{FF2B5EF4-FFF2-40B4-BE49-F238E27FC236}">
              <a16:creationId xmlns:a16="http://schemas.microsoft.com/office/drawing/2014/main" id="{3B746A12-E884-45ED-8676-21C89AA8E7D9}"/>
            </a:ext>
          </a:extLst>
        </xdr:cNvPr>
        <xdr:cNvSpPr/>
      </xdr:nvSpPr>
      <xdr:spPr>
        <a:xfrm>
          <a:off x="3018312" y="185552"/>
          <a:ext cx="3043051" cy="165759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11</xdr:col>
      <xdr:colOff>432954</xdr:colOff>
      <xdr:row>1</xdr:row>
      <xdr:rowOff>74221</xdr:rowOff>
    </xdr:from>
    <xdr:ext cx="2313215" cy="530658"/>
    <xdr:sp macro="" textlink="">
      <xdr:nvSpPr>
        <xdr:cNvPr id="18" name="TextBox 17">
          <a:extLst>
            <a:ext uri="{FF2B5EF4-FFF2-40B4-BE49-F238E27FC236}">
              <a16:creationId xmlns:a16="http://schemas.microsoft.com/office/drawing/2014/main" id="{4D473C31-F2E9-43A7-9E36-80C6CF3716DC}"/>
            </a:ext>
          </a:extLst>
        </xdr:cNvPr>
        <xdr:cNvSpPr txBox="1"/>
      </xdr:nvSpPr>
      <xdr:spPr>
        <a:xfrm>
          <a:off x="3463636" y="259773"/>
          <a:ext cx="231321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800" b="1"/>
            <a:t>Total Teams </a:t>
          </a:r>
        </a:p>
      </xdr:txBody>
    </xdr:sp>
    <xdr:clientData/>
  </xdr:oneCellAnchor>
  <xdr:twoCellAnchor>
    <xdr:from>
      <xdr:col>16</xdr:col>
      <xdr:colOff>581397</xdr:colOff>
      <xdr:row>1</xdr:row>
      <xdr:rowOff>12370</xdr:rowOff>
    </xdr:from>
    <xdr:to>
      <xdr:col>21</xdr:col>
      <xdr:colOff>593766</xdr:colOff>
      <xdr:row>10</xdr:row>
      <xdr:rowOff>1</xdr:rowOff>
    </xdr:to>
    <xdr:sp macro="" textlink="">
      <xdr:nvSpPr>
        <xdr:cNvPr id="19" name="Rectangle 18">
          <a:extLst>
            <a:ext uri="{FF2B5EF4-FFF2-40B4-BE49-F238E27FC236}">
              <a16:creationId xmlns:a16="http://schemas.microsoft.com/office/drawing/2014/main" id="{AB847C37-843B-49C6-AE59-FDDE2E1B247A}"/>
            </a:ext>
          </a:extLst>
        </xdr:cNvPr>
        <xdr:cNvSpPr/>
      </xdr:nvSpPr>
      <xdr:spPr>
        <a:xfrm>
          <a:off x="3005942" y="197922"/>
          <a:ext cx="3043051" cy="165759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17</xdr:col>
      <xdr:colOff>432954</xdr:colOff>
      <xdr:row>1</xdr:row>
      <xdr:rowOff>74221</xdr:rowOff>
    </xdr:from>
    <xdr:ext cx="2313215" cy="530658"/>
    <xdr:sp macro="" textlink="">
      <xdr:nvSpPr>
        <xdr:cNvPr id="20" name="TextBox 19">
          <a:extLst>
            <a:ext uri="{FF2B5EF4-FFF2-40B4-BE49-F238E27FC236}">
              <a16:creationId xmlns:a16="http://schemas.microsoft.com/office/drawing/2014/main" id="{4ABD8E26-5CCE-4DA3-994A-55C2EC190442}"/>
            </a:ext>
          </a:extLst>
        </xdr:cNvPr>
        <xdr:cNvSpPr txBox="1"/>
      </xdr:nvSpPr>
      <xdr:spPr>
        <a:xfrm>
          <a:off x="3463636" y="259773"/>
          <a:ext cx="231321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800" b="1"/>
            <a:t>Total Runs </a:t>
          </a:r>
        </a:p>
      </xdr:txBody>
    </xdr:sp>
    <xdr:clientData/>
  </xdr:oneCellAnchor>
  <xdr:twoCellAnchor>
    <xdr:from>
      <xdr:col>22</xdr:col>
      <xdr:colOff>581397</xdr:colOff>
      <xdr:row>1</xdr:row>
      <xdr:rowOff>12370</xdr:rowOff>
    </xdr:from>
    <xdr:to>
      <xdr:col>27</xdr:col>
      <xdr:colOff>593766</xdr:colOff>
      <xdr:row>10</xdr:row>
      <xdr:rowOff>1</xdr:rowOff>
    </xdr:to>
    <xdr:sp macro="" textlink="">
      <xdr:nvSpPr>
        <xdr:cNvPr id="21" name="Rectangle 20">
          <a:extLst>
            <a:ext uri="{FF2B5EF4-FFF2-40B4-BE49-F238E27FC236}">
              <a16:creationId xmlns:a16="http://schemas.microsoft.com/office/drawing/2014/main" id="{FD87B835-2B31-438E-BFDC-A844B7AA6594}"/>
            </a:ext>
          </a:extLst>
        </xdr:cNvPr>
        <xdr:cNvSpPr/>
      </xdr:nvSpPr>
      <xdr:spPr>
        <a:xfrm>
          <a:off x="3005942" y="197922"/>
          <a:ext cx="3043051" cy="165759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23</xdr:col>
      <xdr:colOff>432954</xdr:colOff>
      <xdr:row>1</xdr:row>
      <xdr:rowOff>74221</xdr:rowOff>
    </xdr:from>
    <xdr:ext cx="2313215" cy="968983"/>
    <xdr:sp macro="" textlink="">
      <xdr:nvSpPr>
        <xdr:cNvPr id="22" name="TextBox 21">
          <a:extLst>
            <a:ext uri="{FF2B5EF4-FFF2-40B4-BE49-F238E27FC236}">
              <a16:creationId xmlns:a16="http://schemas.microsoft.com/office/drawing/2014/main" id="{BC5D7247-874D-40E0-A280-9620711DED72}"/>
            </a:ext>
          </a:extLst>
        </xdr:cNvPr>
        <xdr:cNvSpPr txBox="1"/>
      </xdr:nvSpPr>
      <xdr:spPr>
        <a:xfrm>
          <a:off x="14516347" y="264721"/>
          <a:ext cx="2313215" cy="9689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800" b="1"/>
            <a:t>Total Wickets</a:t>
          </a:r>
        </a:p>
        <a:p>
          <a:endParaRPr lang="en-IN" sz="2800" b="1"/>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 refreshedDate="46142.430897222221" backgroundQuery="1" createdVersion="8" refreshedVersion="8" minRefreshableVersion="3" recordCount="0" supportSubquery="1" supportAdvancedDrill="1" xr:uid="{E0522C68-7823-4F78-AC54-6E12023FEBD4}">
  <cacheSource type="external" connectionId="6"/>
  <cacheFields count="3">
    <cacheField name="[dim_team].[Team_Name].[Team_Name]" caption="Team_Name" numFmtId="0" hierarchy="9" level="1">
      <sharedItems count="8">
        <s v="Chennai Super Kings (CSK)"/>
        <s v="Delhi Capitals (DC)"/>
        <s v="Kolkata Knight Riders (KKR)"/>
        <s v="Mumbai Indians (MI)"/>
        <s v="Punjab Kings (PBKS)"/>
        <s v="Rajasthan Royals (RR)"/>
        <s v="Royal Challengers Bengaluru (RCB)"/>
        <s v="Sunrisers Hyderabad (SRH)"/>
      </sharedItems>
    </cacheField>
    <cacheField name="[Measures].[Sum of Total_Runs]" caption="Sum of Total_Runs" numFmtId="0" hierarchy="68" level="32767"/>
    <cacheField name="[dim_player].[Player_Name].[Player_Name]" caption="Player_Name" numFmtId="0" hierarchy="1" level="1">
      <sharedItems containsSemiMixedTypes="0" containsNonDate="0" containsString="0"/>
    </cacheField>
  </cacheFields>
  <cacheHierarchies count="8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2"/>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130" unbalanced="0"/>
    <cacheHierarchy uniqueName="[fact_match].[Team2_Runs]" caption="Team2_Runs" attribute="1" defaultMemberUniqueName="[fact_match].[Team2_Runs].[All]" allUniqueName="[fact_match].[Team2_Runs].[All]" dimensionUniqueName="[fact_match]" displayFolder="" count="0" memberValueDatatype="130" unbalanced="0"/>
    <cacheHierarchy uniqueName="[fact_match].[Team1_Wickets]" caption="Team1_Wickets" attribute="1" defaultMemberUniqueName="[fact_match].[Team1_Wickets].[All]" allUniqueName="[fact_match].[Team1_Wickets].[All]" dimensionUniqueName="[fact_match]" displayFolder="" count="0" memberValueDatatype="130" unbalanced="0"/>
    <cacheHierarchy uniqueName="[fact_match].[Team2_Wickets]" caption="Team2_Wickets" attribute="1" defaultMemberUniqueName="[fact_match].[Team2_Wickets].[All]" allUniqueName="[fact_match].[Team2_Wickets].[All]" dimensionUniqueName="[fact_match]" displayFolder="" count="0" memberValueDatatype="130" unbalanced="0"/>
    <cacheHierarchy uniqueName="[fact_match].[Overs_Team1]" caption="Overs_Team1" attribute="1" defaultMemberUniqueName="[fact_match].[Overs_Team1].[All]" allUniqueName="[fact_match].[Overs_Team1].[All]" dimensionUniqueName="[fact_match]" displayFolder="" count="0" memberValueDatatype="130" unbalanced="0"/>
    <cacheHierarchy uniqueName="[fact_match].[Overs_Team2]" caption="Overs_Team2" attribute="1" defaultMemberUniqueName="[fact_match].[Overs_Team2].[All]" allUniqueName="[fact_match].[Overs_Team2].[All]" dimensionUniqueName="[fact_match]" displayFolder="" count="0" memberValueDatatype="130" unbalanced="0"/>
    <cacheHierarchy uniqueName="[fact_match].[Total_Runs]" caption="Total_Runs" attribute="1" defaultMemberUniqueName="[fact_match].[Total_Runs].[All]" allUniqueName="[fact_match].[Total_Runs].[All]" dimensionUniqueName="[fact_match]" displayFolder="" count="0" memberValueDatatype="5" unbalanced="0"/>
    <cacheHierarchy uniqueName="[fact_match].[Win_margin]" caption="Win_margin" attribute="1" defaultMemberUniqueName="[fact_match].[Win_margin].[All]" allUniqueName="[fact_match].[Win_margin].[All]" dimensionUniqueName="[fact_match]" displayFolder="" count="0" memberValueDatatype="5"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match].[Add Column2]" caption="Add Column2" attribute="1" defaultMemberUniqueName="[fact_match].[Add Column2].[All]" allUniqueName="[fact_match].[Add Column2].[All]" dimensionUniqueName="[fact_match]" displayFolder="" count="0" memberValueDatatype="2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Runs]" caption="TotalRuns" measure="1" displayFolder="" measureGroup="fact_match" count="0"/>
    <cacheHierarchy uniqueName="[Measures].[Total_Wickets]" caption="Total_Wickets" measure="1" displayFolder="" measureGroup="fact_match" count="0"/>
    <cacheHierarchy uniqueName="[Measures].[Player_Runs]" caption="Player_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Played]" caption="Match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Total_Runs]" caption="Sum of Total_Runs" measure="1" displayFolder="" measureGroup="fact_match"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player" count="0" hidden="1">
      <extLst>
        <ext xmlns:x15="http://schemas.microsoft.com/office/spreadsheetml/2010/11/main" uri="{B97F6D7D-B522-45F9-BDA1-12C45D357490}">
          <x15:cacheHierarchy aggregatedColumn="2"/>
        </ext>
      </extLst>
    </cacheHierarchy>
    <cacheHierarchy uniqueName="[Measures].[Count of Team_ID 2]" caption="Count of Team_ID 2" measure="1" displayFolder="" measureGroup="dim_team" count="0" hidden="1">
      <extLst>
        <ext xmlns:x15="http://schemas.microsoft.com/office/spreadsheetml/2010/11/main" uri="{B97F6D7D-B522-45F9-BDA1-12C45D357490}">
          <x15:cacheHierarchy aggregatedColumn="8"/>
        </ext>
      </extLst>
    </cacheHierarchy>
    <cacheHierarchy uniqueName="[Measures].[Count of Runs]" caption="Count of Runs" measure="1" displayFolder="" measureGroup="fact_player" count="0" hidden="1">
      <extLst>
        <ext xmlns:x15="http://schemas.microsoft.com/office/spreadsheetml/2010/11/main" uri="{B97F6D7D-B522-45F9-BDA1-12C45D357490}">
          <x15:cacheHierarchy aggregatedColumn="43"/>
        </ext>
      </extLst>
    </cacheHierarchy>
    <cacheHierarchy uniqueName="[Measures].[Count of Balls_Faced]" caption="Count of Balls_Faced" measure="1" displayFolder="" measureGroup="fact_player" count="0" hidden="1">
      <extLst>
        <ext xmlns:x15="http://schemas.microsoft.com/office/spreadsheetml/2010/11/main" uri="{B97F6D7D-B522-45F9-BDA1-12C45D357490}">
          <x15:cacheHierarchy aggregatedColumn="44"/>
        </ext>
      </extLst>
    </cacheHierarchy>
    <cacheHierarchy uniqueName="[Measures].[Count of Strike_Rate]" caption="Count of Strike_Rate" measure="1" displayFolder="" measureGroup="fact_player" count="0" hidden="1">
      <extLst>
        <ext xmlns:x15="http://schemas.microsoft.com/office/spreadsheetml/2010/11/main" uri="{B97F6D7D-B522-45F9-BDA1-12C45D357490}">
          <x15:cacheHierarchy aggregatedColumn="47"/>
        </ext>
      </extLst>
    </cacheHierarchy>
    <cacheHierarchy uniqueName="[Measures].[Count of Runs_Conceded]" caption="Count of Runs_Conceded" measure="1" displayFolder="" measureGroup="fact_player" count="0" hidden="1">
      <extLst>
        <ext xmlns:x15="http://schemas.microsoft.com/office/spreadsheetml/2010/11/main" uri="{B97F6D7D-B522-45F9-BDA1-12C45D357490}">
          <x15:cacheHierarchy aggregatedColumn="49"/>
        </ext>
      </extLst>
    </cacheHierarchy>
    <cacheHierarchy uniqueName="[Measures].[Count of Wickets]" caption="Count of Wickets" measure="1" displayFolder="" measureGroup="fact_player" count="0" hidden="1">
      <extLst>
        <ext xmlns:x15="http://schemas.microsoft.com/office/spreadsheetml/2010/11/main" uri="{B97F6D7D-B522-45F9-BDA1-12C45D357490}">
          <x15:cacheHierarchy aggregatedColumn="50"/>
        </ext>
      </extLst>
    </cacheHierarchy>
    <cacheHierarchy uniqueName="[Measures].[Count of Player_Name]" caption="Count of Player_Name" measure="1" displayFolder="" measureGroup="dim_player" count="0" hidden="1">
      <extLst>
        <ext xmlns:x15="http://schemas.microsoft.com/office/spreadsheetml/2010/11/main" uri="{B97F6D7D-B522-45F9-BDA1-12C45D357490}">
          <x15:cacheHierarchy aggregatedColumn="1"/>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3"/>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4"/>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7"/>
        </ext>
      </extLst>
    </cacheHierarchy>
    <cacheHierarchy uniqueName="[Measures].[Sum of Overs_Bowled]" caption="Sum of Overs_Bowled" measure="1" displayFolder="" measureGroup="fact_player" count="0" hidden="1">
      <extLst>
        <ext xmlns:x15="http://schemas.microsoft.com/office/spreadsheetml/2010/11/main" uri="{B97F6D7D-B522-45F9-BDA1-12C45D357490}">
          <x15:cacheHierarchy aggregatedColumn="48"/>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9"/>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50"/>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1"/>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 refreshedDate="46142.430897800929" backgroundQuery="1" createdVersion="8" refreshedVersion="8" minRefreshableVersion="3" recordCount="0" supportSubquery="1" supportAdvancedDrill="1" xr:uid="{8E347F47-B2EF-4708-8CD2-BFF77B6B0519}">
  <cacheSource type="external" connectionId="6"/>
  <cacheFields count="3">
    <cacheField name="[dim_team].[Team_Name].[Team_Name]" caption="Team_Name" numFmtId="0" hierarchy="9" level="1">
      <sharedItems containsBlank="1" count="9">
        <s v="Chennai Super Kings (CSK)"/>
        <s v="Delhi Capitals (DC)"/>
        <s v="Kolkata Knight Riders (KKR)"/>
        <s v="Mumbai Indians (MI)"/>
        <s v="Punjab Kings (PBKS)"/>
        <s v="Rajasthan Royals (RR)"/>
        <s v="Royal Challengers Bengaluru (RCB)"/>
        <s v="Sunrisers Hyderabad (SRH)"/>
        <m/>
      </sharedItems>
    </cacheField>
    <cacheField name="[Measures].[TeamWins]" caption="TeamWins" numFmtId="0" hierarchy="59" level="32767"/>
    <cacheField name="[dim_player].[Player_Name].[Player_Name]" caption="Player_Name" numFmtId="0" hierarchy="1" level="1">
      <sharedItems containsSemiMixedTypes="0" containsNonDate="0" containsString="0"/>
    </cacheField>
  </cacheFields>
  <cacheHierarchies count="8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2"/>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130" unbalanced="0"/>
    <cacheHierarchy uniqueName="[fact_match].[Team2_Runs]" caption="Team2_Runs" attribute="1" defaultMemberUniqueName="[fact_match].[Team2_Runs].[All]" allUniqueName="[fact_match].[Team2_Runs].[All]" dimensionUniqueName="[fact_match]" displayFolder="" count="0" memberValueDatatype="130" unbalanced="0"/>
    <cacheHierarchy uniqueName="[fact_match].[Team1_Wickets]" caption="Team1_Wickets" attribute="1" defaultMemberUniqueName="[fact_match].[Team1_Wickets].[All]" allUniqueName="[fact_match].[Team1_Wickets].[All]" dimensionUniqueName="[fact_match]" displayFolder="" count="0" memberValueDatatype="130" unbalanced="0"/>
    <cacheHierarchy uniqueName="[fact_match].[Team2_Wickets]" caption="Team2_Wickets" attribute="1" defaultMemberUniqueName="[fact_match].[Team2_Wickets].[All]" allUniqueName="[fact_match].[Team2_Wickets].[All]" dimensionUniqueName="[fact_match]" displayFolder="" count="0" memberValueDatatype="130" unbalanced="0"/>
    <cacheHierarchy uniqueName="[fact_match].[Overs_Team1]" caption="Overs_Team1" attribute="1" defaultMemberUniqueName="[fact_match].[Overs_Team1].[All]" allUniqueName="[fact_match].[Overs_Team1].[All]" dimensionUniqueName="[fact_match]" displayFolder="" count="0" memberValueDatatype="130" unbalanced="0"/>
    <cacheHierarchy uniqueName="[fact_match].[Overs_Team2]" caption="Overs_Team2" attribute="1" defaultMemberUniqueName="[fact_match].[Overs_Team2].[All]" allUniqueName="[fact_match].[Overs_Team2].[All]" dimensionUniqueName="[fact_match]" displayFolder="" count="0" memberValueDatatype="130" unbalanced="0"/>
    <cacheHierarchy uniqueName="[fact_match].[Total_Runs]" caption="Total_Runs" attribute="1" defaultMemberUniqueName="[fact_match].[Total_Runs].[All]" allUniqueName="[fact_match].[Total_Runs].[All]" dimensionUniqueName="[fact_match]" displayFolder="" count="0" memberValueDatatype="5" unbalanced="0"/>
    <cacheHierarchy uniqueName="[fact_match].[Win_margin]" caption="Win_margin" attribute="1" defaultMemberUniqueName="[fact_match].[Win_margin].[All]" allUniqueName="[fact_match].[Win_margin].[All]" dimensionUniqueName="[fact_match]" displayFolder="" count="0" memberValueDatatype="5"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match].[Add Column2]" caption="Add Column2" attribute="1" defaultMemberUniqueName="[fact_match].[Add Column2].[All]" allUniqueName="[fact_match].[Add Column2].[All]" dimensionUniqueName="[fact_match]" displayFolder="" count="0" memberValueDatatype="2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Runs]" caption="TotalRuns" measure="1" displayFolder="" measureGroup="fact_match" count="0"/>
    <cacheHierarchy uniqueName="[Measures].[Total_Wickets]" caption="Total_Wickets" measure="1" displayFolder="" measureGroup="fact_match" count="0"/>
    <cacheHierarchy uniqueName="[Measures].[Player_Runs]" caption="Player_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Played]" caption="MatchPlayed" measure="1" displayFolder="" measureGroup="fact_match" count="0"/>
    <cacheHierarchy uniqueName="[Measures].[TeamWins]" caption="TeamWins" measure="1" displayFolder="" measureGroup="fact_match" count="0" oneField="1">
      <fieldsUsage count="1">
        <fieldUsage x="1"/>
      </fieldsUsage>
    </cacheHierarchy>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player" count="0" hidden="1">
      <extLst>
        <ext xmlns:x15="http://schemas.microsoft.com/office/spreadsheetml/2010/11/main" uri="{B97F6D7D-B522-45F9-BDA1-12C45D357490}">
          <x15:cacheHierarchy aggregatedColumn="2"/>
        </ext>
      </extLst>
    </cacheHierarchy>
    <cacheHierarchy uniqueName="[Measures].[Count of Team_ID 2]" caption="Count of Team_ID 2" measure="1" displayFolder="" measureGroup="dim_team" count="0" hidden="1">
      <extLst>
        <ext xmlns:x15="http://schemas.microsoft.com/office/spreadsheetml/2010/11/main" uri="{B97F6D7D-B522-45F9-BDA1-12C45D357490}">
          <x15:cacheHierarchy aggregatedColumn="8"/>
        </ext>
      </extLst>
    </cacheHierarchy>
    <cacheHierarchy uniqueName="[Measures].[Count of Runs]" caption="Count of Runs" measure="1" displayFolder="" measureGroup="fact_player" count="0" hidden="1">
      <extLst>
        <ext xmlns:x15="http://schemas.microsoft.com/office/spreadsheetml/2010/11/main" uri="{B97F6D7D-B522-45F9-BDA1-12C45D357490}">
          <x15:cacheHierarchy aggregatedColumn="43"/>
        </ext>
      </extLst>
    </cacheHierarchy>
    <cacheHierarchy uniqueName="[Measures].[Count of Balls_Faced]" caption="Count of Balls_Faced" measure="1" displayFolder="" measureGroup="fact_player" count="0" hidden="1">
      <extLst>
        <ext xmlns:x15="http://schemas.microsoft.com/office/spreadsheetml/2010/11/main" uri="{B97F6D7D-B522-45F9-BDA1-12C45D357490}">
          <x15:cacheHierarchy aggregatedColumn="44"/>
        </ext>
      </extLst>
    </cacheHierarchy>
    <cacheHierarchy uniqueName="[Measures].[Count of Strike_Rate]" caption="Count of Strike_Rate" measure="1" displayFolder="" measureGroup="fact_player" count="0" hidden="1">
      <extLst>
        <ext xmlns:x15="http://schemas.microsoft.com/office/spreadsheetml/2010/11/main" uri="{B97F6D7D-B522-45F9-BDA1-12C45D357490}">
          <x15:cacheHierarchy aggregatedColumn="47"/>
        </ext>
      </extLst>
    </cacheHierarchy>
    <cacheHierarchy uniqueName="[Measures].[Count of Runs_Conceded]" caption="Count of Runs_Conceded" measure="1" displayFolder="" measureGroup="fact_player" count="0" hidden="1">
      <extLst>
        <ext xmlns:x15="http://schemas.microsoft.com/office/spreadsheetml/2010/11/main" uri="{B97F6D7D-B522-45F9-BDA1-12C45D357490}">
          <x15:cacheHierarchy aggregatedColumn="49"/>
        </ext>
      </extLst>
    </cacheHierarchy>
    <cacheHierarchy uniqueName="[Measures].[Count of Wickets]" caption="Count of Wickets" measure="1" displayFolder="" measureGroup="fact_player" count="0" hidden="1">
      <extLst>
        <ext xmlns:x15="http://schemas.microsoft.com/office/spreadsheetml/2010/11/main" uri="{B97F6D7D-B522-45F9-BDA1-12C45D357490}">
          <x15:cacheHierarchy aggregatedColumn="50"/>
        </ext>
      </extLst>
    </cacheHierarchy>
    <cacheHierarchy uniqueName="[Measures].[Count of Player_Name]" caption="Count of Player_Name" measure="1" displayFolder="" measureGroup="dim_player" count="0" hidden="1">
      <extLst>
        <ext xmlns:x15="http://schemas.microsoft.com/office/spreadsheetml/2010/11/main" uri="{B97F6D7D-B522-45F9-BDA1-12C45D357490}">
          <x15:cacheHierarchy aggregatedColumn="1"/>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3"/>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4"/>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7"/>
        </ext>
      </extLst>
    </cacheHierarchy>
    <cacheHierarchy uniqueName="[Measures].[Sum of Overs_Bowled]" caption="Sum of Overs_Bowled" measure="1" displayFolder="" measureGroup="fact_player" count="0" hidden="1">
      <extLst>
        <ext xmlns:x15="http://schemas.microsoft.com/office/spreadsheetml/2010/11/main" uri="{B97F6D7D-B522-45F9-BDA1-12C45D357490}">
          <x15:cacheHierarchy aggregatedColumn="48"/>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9"/>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50"/>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1"/>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 refreshedDate="46142.430898148152" backgroundQuery="1" createdVersion="8" refreshedVersion="8" minRefreshableVersion="3" recordCount="0" supportSubquery="1" supportAdvancedDrill="1" xr:uid="{A39C7EA5-8D80-456F-BF2A-BA3C793B0F61}">
  <cacheSource type="external" connectionId="6"/>
  <cacheFields count="4">
    <cacheField name="[fact_match].[Win_Type].[Win_Type]" caption="Win_Type" numFmtId="0" hierarchy="35" level="1">
      <sharedItems count="2">
        <s v="Win by Runs"/>
        <s v="win by Wickets"/>
      </sharedItems>
    </cacheField>
    <cacheField name="[Measures].[Sum of Total_Runs]" caption="Sum of Total_Runs" numFmtId="0" hierarchy="68" level="32767"/>
    <cacheField name="[dim_player].[Player_Name].[Player_Name]" caption="Player_Name" numFmtId="0" hierarchy="1" level="1">
      <sharedItems containsSemiMixedTypes="0" containsNonDate="0" containsString="0"/>
    </cacheField>
    <cacheField name="[dim_team].[Team_Name].[Team_Name]" caption="Team_Name" numFmtId="0" hierarchy="9" level="1">
      <sharedItems containsSemiMixedTypes="0" containsNonDate="0" containsString="0"/>
    </cacheField>
  </cacheFields>
  <cacheHierarchies count="8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2"/>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3"/>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130" unbalanced="0"/>
    <cacheHierarchy uniqueName="[fact_match].[Team2_Runs]" caption="Team2_Runs" attribute="1" defaultMemberUniqueName="[fact_match].[Team2_Runs].[All]" allUniqueName="[fact_match].[Team2_Runs].[All]" dimensionUniqueName="[fact_match]" displayFolder="" count="0" memberValueDatatype="130" unbalanced="0"/>
    <cacheHierarchy uniqueName="[fact_match].[Team1_Wickets]" caption="Team1_Wickets" attribute="1" defaultMemberUniqueName="[fact_match].[Team1_Wickets].[All]" allUniqueName="[fact_match].[Team1_Wickets].[All]" dimensionUniqueName="[fact_match]" displayFolder="" count="0" memberValueDatatype="130" unbalanced="0"/>
    <cacheHierarchy uniqueName="[fact_match].[Team2_Wickets]" caption="Team2_Wickets" attribute="1" defaultMemberUniqueName="[fact_match].[Team2_Wickets].[All]" allUniqueName="[fact_match].[Team2_Wickets].[All]" dimensionUniqueName="[fact_match]" displayFolder="" count="0" memberValueDatatype="130" unbalanced="0"/>
    <cacheHierarchy uniqueName="[fact_match].[Overs_Team1]" caption="Overs_Team1" attribute="1" defaultMemberUniqueName="[fact_match].[Overs_Team1].[All]" allUniqueName="[fact_match].[Overs_Team1].[All]" dimensionUniqueName="[fact_match]" displayFolder="" count="0" memberValueDatatype="130" unbalanced="0"/>
    <cacheHierarchy uniqueName="[fact_match].[Overs_Team2]" caption="Overs_Team2" attribute="1" defaultMemberUniqueName="[fact_match].[Overs_Team2].[All]" allUniqueName="[fact_match].[Overs_Team2].[All]" dimensionUniqueName="[fact_match]" displayFolder="" count="0" memberValueDatatype="130" unbalanced="0"/>
    <cacheHierarchy uniqueName="[fact_match].[Total_Runs]" caption="Total_Runs" attribute="1" defaultMemberUniqueName="[fact_match].[Total_Runs].[All]" allUniqueName="[fact_match].[Total_Runs].[All]" dimensionUniqueName="[fact_match]" displayFolder="" count="0" memberValueDatatype="5" unbalanced="0"/>
    <cacheHierarchy uniqueName="[fact_match].[Win_margin]" caption="Win_margin" attribute="1" defaultMemberUniqueName="[fact_match].[Win_margin].[All]" allUniqueName="[fact_match].[Win_margin].[All]" dimensionUniqueName="[fact_match]" displayFolder="" count="0" memberValueDatatype="5" unbalanced="0"/>
    <cacheHierarchy uniqueName="[fact_match].[Win_Type]" caption="Win_Type" attribute="1" defaultMemberUniqueName="[fact_match].[Win_Type].[All]" allUniqueName="[fact_match].[Win_Type].[All]" dimensionUniqueName="[fact_match]" displayFolder="" count="2" memberValueDatatype="130" unbalanced="0">
      <fieldsUsage count="2">
        <fieldUsage x="-1"/>
        <fieldUsage x="0"/>
      </fieldsUsage>
    </cacheHierarchy>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match].[Add Column2]" caption="Add Column2" attribute="1" defaultMemberUniqueName="[fact_match].[Add Column2].[All]" allUniqueName="[fact_match].[Add Column2].[All]" dimensionUniqueName="[fact_match]" displayFolder="" count="0" memberValueDatatype="2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Runs]" caption="TotalRuns" measure="1" displayFolder="" measureGroup="fact_match" count="0"/>
    <cacheHierarchy uniqueName="[Measures].[Total_Wickets]" caption="Total_Wickets" measure="1" displayFolder="" measureGroup="fact_match" count="0"/>
    <cacheHierarchy uniqueName="[Measures].[Player_Runs]" caption="Player_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Played]" caption="Match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Total_Runs]" caption="Sum of Total_Runs" measure="1" displayFolder="" measureGroup="fact_match"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player" count="0" hidden="1">
      <extLst>
        <ext xmlns:x15="http://schemas.microsoft.com/office/spreadsheetml/2010/11/main" uri="{B97F6D7D-B522-45F9-BDA1-12C45D357490}">
          <x15:cacheHierarchy aggregatedColumn="2"/>
        </ext>
      </extLst>
    </cacheHierarchy>
    <cacheHierarchy uniqueName="[Measures].[Count of Team_ID 2]" caption="Count of Team_ID 2" measure="1" displayFolder="" measureGroup="dim_team" count="0" hidden="1">
      <extLst>
        <ext xmlns:x15="http://schemas.microsoft.com/office/spreadsheetml/2010/11/main" uri="{B97F6D7D-B522-45F9-BDA1-12C45D357490}">
          <x15:cacheHierarchy aggregatedColumn="8"/>
        </ext>
      </extLst>
    </cacheHierarchy>
    <cacheHierarchy uniqueName="[Measures].[Count of Runs]" caption="Count of Runs" measure="1" displayFolder="" measureGroup="fact_player" count="0" hidden="1">
      <extLst>
        <ext xmlns:x15="http://schemas.microsoft.com/office/spreadsheetml/2010/11/main" uri="{B97F6D7D-B522-45F9-BDA1-12C45D357490}">
          <x15:cacheHierarchy aggregatedColumn="43"/>
        </ext>
      </extLst>
    </cacheHierarchy>
    <cacheHierarchy uniqueName="[Measures].[Count of Balls_Faced]" caption="Count of Balls_Faced" measure="1" displayFolder="" measureGroup="fact_player" count="0" hidden="1">
      <extLst>
        <ext xmlns:x15="http://schemas.microsoft.com/office/spreadsheetml/2010/11/main" uri="{B97F6D7D-B522-45F9-BDA1-12C45D357490}">
          <x15:cacheHierarchy aggregatedColumn="44"/>
        </ext>
      </extLst>
    </cacheHierarchy>
    <cacheHierarchy uniqueName="[Measures].[Count of Strike_Rate]" caption="Count of Strike_Rate" measure="1" displayFolder="" measureGroup="fact_player" count="0" hidden="1">
      <extLst>
        <ext xmlns:x15="http://schemas.microsoft.com/office/spreadsheetml/2010/11/main" uri="{B97F6D7D-B522-45F9-BDA1-12C45D357490}">
          <x15:cacheHierarchy aggregatedColumn="47"/>
        </ext>
      </extLst>
    </cacheHierarchy>
    <cacheHierarchy uniqueName="[Measures].[Count of Runs_Conceded]" caption="Count of Runs_Conceded" measure="1" displayFolder="" measureGroup="fact_player" count="0" hidden="1">
      <extLst>
        <ext xmlns:x15="http://schemas.microsoft.com/office/spreadsheetml/2010/11/main" uri="{B97F6D7D-B522-45F9-BDA1-12C45D357490}">
          <x15:cacheHierarchy aggregatedColumn="49"/>
        </ext>
      </extLst>
    </cacheHierarchy>
    <cacheHierarchy uniqueName="[Measures].[Count of Wickets]" caption="Count of Wickets" measure="1" displayFolder="" measureGroup="fact_player" count="0" hidden="1">
      <extLst>
        <ext xmlns:x15="http://schemas.microsoft.com/office/spreadsheetml/2010/11/main" uri="{B97F6D7D-B522-45F9-BDA1-12C45D357490}">
          <x15:cacheHierarchy aggregatedColumn="50"/>
        </ext>
      </extLst>
    </cacheHierarchy>
    <cacheHierarchy uniqueName="[Measures].[Count of Player_Name]" caption="Count of Player_Name" measure="1" displayFolder="" measureGroup="dim_player" count="0" hidden="1">
      <extLst>
        <ext xmlns:x15="http://schemas.microsoft.com/office/spreadsheetml/2010/11/main" uri="{B97F6D7D-B522-45F9-BDA1-12C45D357490}">
          <x15:cacheHierarchy aggregatedColumn="1"/>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3"/>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4"/>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7"/>
        </ext>
      </extLst>
    </cacheHierarchy>
    <cacheHierarchy uniqueName="[Measures].[Sum of Overs_Bowled]" caption="Sum of Overs_Bowled" measure="1" displayFolder="" measureGroup="fact_player" count="0" hidden="1">
      <extLst>
        <ext xmlns:x15="http://schemas.microsoft.com/office/spreadsheetml/2010/11/main" uri="{B97F6D7D-B522-45F9-BDA1-12C45D357490}">
          <x15:cacheHierarchy aggregatedColumn="48"/>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9"/>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50"/>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1"/>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 refreshedDate="46142.430898495368" backgroundQuery="1" createdVersion="8" refreshedVersion="8" minRefreshableVersion="3" recordCount="0" supportSubquery="1" supportAdvancedDrill="1" xr:uid="{E580257D-5BF1-4611-8DCC-5287422AEA58}">
  <cacheSource type="external" connectionId="6"/>
  <cacheFields count="4">
    <cacheField name="[dim_venue].[Venue_Name].[Venue_Name]" caption="Venue_Name" numFmtId="0" hierarchy="16" level="1">
      <sharedItems containsBlank="1" count="11">
        <s v="Arun Jaitley Stadium"/>
        <s v="Bharat Ratna Shri Atal Bihari Vajpayee Ekana Cricket Stadium"/>
        <s v="Eden Gardens"/>
        <s v="M. A. Chidambaram Stadium"/>
        <s v="M. Chinnaswamy Stadium"/>
        <s v="Maharaja Yadavindra Singh Int. Cricket Stadium"/>
        <s v="Narendra Modi Stadium"/>
        <s v="Rajiv Gandhi Int. Stadium"/>
        <s v="Sawai Mansingh Stadium"/>
        <s v="Wankhede Stadium"/>
        <m/>
      </sharedItems>
    </cacheField>
    <cacheField name="[Measures].[Count of Team_ID 2]" caption="Count of Team_ID 2" numFmtId="0" hierarchy="71" level="32767"/>
    <cacheField name="[dim_player].[Player_Name].[Player_Name]" caption="Player_Name" numFmtId="0" hierarchy="1" level="1">
      <sharedItems containsSemiMixedTypes="0" containsNonDate="0" containsString="0"/>
    </cacheField>
    <cacheField name="[dim_team].[Team_Name].[Team_Name]" caption="Team_Name" numFmtId="0" hierarchy="9" level="1">
      <sharedItems containsSemiMixedTypes="0" containsNonDate="0" containsString="0"/>
    </cacheField>
  </cacheFields>
  <cacheHierarchies count="8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2"/>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3"/>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0"/>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130" unbalanced="0"/>
    <cacheHierarchy uniqueName="[fact_match].[Team2_Runs]" caption="Team2_Runs" attribute="1" defaultMemberUniqueName="[fact_match].[Team2_Runs].[All]" allUniqueName="[fact_match].[Team2_Runs].[All]" dimensionUniqueName="[fact_match]" displayFolder="" count="0" memberValueDatatype="130" unbalanced="0"/>
    <cacheHierarchy uniqueName="[fact_match].[Team1_Wickets]" caption="Team1_Wickets" attribute="1" defaultMemberUniqueName="[fact_match].[Team1_Wickets].[All]" allUniqueName="[fact_match].[Team1_Wickets].[All]" dimensionUniqueName="[fact_match]" displayFolder="" count="0" memberValueDatatype="130" unbalanced="0"/>
    <cacheHierarchy uniqueName="[fact_match].[Team2_Wickets]" caption="Team2_Wickets" attribute="1" defaultMemberUniqueName="[fact_match].[Team2_Wickets].[All]" allUniqueName="[fact_match].[Team2_Wickets].[All]" dimensionUniqueName="[fact_match]" displayFolder="" count="0" memberValueDatatype="130" unbalanced="0"/>
    <cacheHierarchy uniqueName="[fact_match].[Overs_Team1]" caption="Overs_Team1" attribute="1" defaultMemberUniqueName="[fact_match].[Overs_Team1].[All]" allUniqueName="[fact_match].[Overs_Team1].[All]" dimensionUniqueName="[fact_match]" displayFolder="" count="0" memberValueDatatype="130" unbalanced="0"/>
    <cacheHierarchy uniqueName="[fact_match].[Overs_Team2]" caption="Overs_Team2" attribute="1" defaultMemberUniqueName="[fact_match].[Overs_Team2].[All]" allUniqueName="[fact_match].[Overs_Team2].[All]" dimensionUniqueName="[fact_match]" displayFolder="" count="0" memberValueDatatype="130" unbalanced="0"/>
    <cacheHierarchy uniqueName="[fact_match].[Total_Runs]" caption="Total_Runs" attribute="1" defaultMemberUniqueName="[fact_match].[Total_Runs].[All]" allUniqueName="[fact_match].[Total_Runs].[All]" dimensionUniqueName="[fact_match]" displayFolder="" count="0" memberValueDatatype="5" unbalanced="0"/>
    <cacheHierarchy uniqueName="[fact_match].[Win_margin]" caption="Win_margin" attribute="1" defaultMemberUniqueName="[fact_match].[Win_margin].[All]" allUniqueName="[fact_match].[Win_margin].[All]" dimensionUniqueName="[fact_match]" displayFolder="" count="0" memberValueDatatype="5"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match].[Add Column2]" caption="Add Column2" attribute="1" defaultMemberUniqueName="[fact_match].[Add Column2].[All]" allUniqueName="[fact_match].[Add Column2].[All]" dimensionUniqueName="[fact_match]" displayFolder="" count="0" memberValueDatatype="2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Runs]" caption="TotalRuns" measure="1" displayFolder="" measureGroup="fact_match" count="0"/>
    <cacheHierarchy uniqueName="[Measures].[Total_Wickets]" caption="Total_Wickets" measure="1" displayFolder="" measureGroup="fact_match" count="0"/>
    <cacheHierarchy uniqueName="[Measures].[Player_Runs]" caption="Player_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Played]" caption="Match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player" count="0" hidden="1">
      <extLst>
        <ext xmlns:x15="http://schemas.microsoft.com/office/spreadsheetml/2010/11/main" uri="{B97F6D7D-B522-45F9-BDA1-12C45D357490}">
          <x15:cacheHierarchy aggregatedColumn="2"/>
        </ext>
      </extLst>
    </cacheHierarchy>
    <cacheHierarchy uniqueName="[Measures].[Count of Team_ID 2]" caption="Count of Team_ID 2" measure="1" displayFolder="" measureGroup="dim_team"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Runs]" caption="Count of Runs" measure="1" displayFolder="" measureGroup="fact_player" count="0" hidden="1">
      <extLst>
        <ext xmlns:x15="http://schemas.microsoft.com/office/spreadsheetml/2010/11/main" uri="{B97F6D7D-B522-45F9-BDA1-12C45D357490}">
          <x15:cacheHierarchy aggregatedColumn="43"/>
        </ext>
      </extLst>
    </cacheHierarchy>
    <cacheHierarchy uniqueName="[Measures].[Count of Balls_Faced]" caption="Count of Balls_Faced" measure="1" displayFolder="" measureGroup="fact_player" count="0" hidden="1">
      <extLst>
        <ext xmlns:x15="http://schemas.microsoft.com/office/spreadsheetml/2010/11/main" uri="{B97F6D7D-B522-45F9-BDA1-12C45D357490}">
          <x15:cacheHierarchy aggregatedColumn="44"/>
        </ext>
      </extLst>
    </cacheHierarchy>
    <cacheHierarchy uniqueName="[Measures].[Count of Strike_Rate]" caption="Count of Strike_Rate" measure="1" displayFolder="" measureGroup="fact_player" count="0" hidden="1">
      <extLst>
        <ext xmlns:x15="http://schemas.microsoft.com/office/spreadsheetml/2010/11/main" uri="{B97F6D7D-B522-45F9-BDA1-12C45D357490}">
          <x15:cacheHierarchy aggregatedColumn="47"/>
        </ext>
      </extLst>
    </cacheHierarchy>
    <cacheHierarchy uniqueName="[Measures].[Count of Runs_Conceded]" caption="Count of Runs_Conceded" measure="1" displayFolder="" measureGroup="fact_player" count="0" hidden="1">
      <extLst>
        <ext xmlns:x15="http://schemas.microsoft.com/office/spreadsheetml/2010/11/main" uri="{B97F6D7D-B522-45F9-BDA1-12C45D357490}">
          <x15:cacheHierarchy aggregatedColumn="49"/>
        </ext>
      </extLst>
    </cacheHierarchy>
    <cacheHierarchy uniqueName="[Measures].[Count of Wickets]" caption="Count of Wickets" measure="1" displayFolder="" measureGroup="fact_player" count="0" hidden="1">
      <extLst>
        <ext xmlns:x15="http://schemas.microsoft.com/office/spreadsheetml/2010/11/main" uri="{B97F6D7D-B522-45F9-BDA1-12C45D357490}">
          <x15:cacheHierarchy aggregatedColumn="50"/>
        </ext>
      </extLst>
    </cacheHierarchy>
    <cacheHierarchy uniqueName="[Measures].[Count of Player_Name]" caption="Count of Player_Name" measure="1" displayFolder="" measureGroup="dim_player" count="0" hidden="1">
      <extLst>
        <ext xmlns:x15="http://schemas.microsoft.com/office/spreadsheetml/2010/11/main" uri="{B97F6D7D-B522-45F9-BDA1-12C45D357490}">
          <x15:cacheHierarchy aggregatedColumn="1"/>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3"/>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4"/>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7"/>
        </ext>
      </extLst>
    </cacheHierarchy>
    <cacheHierarchy uniqueName="[Measures].[Sum of Overs_Bowled]" caption="Sum of Overs_Bowled" measure="1" displayFolder="" measureGroup="fact_player" count="0" hidden="1">
      <extLst>
        <ext xmlns:x15="http://schemas.microsoft.com/office/spreadsheetml/2010/11/main" uri="{B97F6D7D-B522-45F9-BDA1-12C45D357490}">
          <x15:cacheHierarchy aggregatedColumn="48"/>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9"/>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50"/>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1"/>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 refreshedDate="46142.430898842591" backgroundQuery="1" createdVersion="8" refreshedVersion="8" minRefreshableVersion="3" recordCount="0" supportSubquery="1" supportAdvancedDrill="1" xr:uid="{58FDC202-1C1D-44BB-BA31-EA6FA3304922}">
  <cacheSource type="external" connectionId="6"/>
  <cacheFields count="5">
    <cacheField name="[dim_team].[Team_Name].[Team_Name]" caption="Team_Name" numFmtId="0" hierarchy="9" level="1">
      <sharedItems containsBlank="1" count="9">
        <s v="Chennai Super Kings (CSK)"/>
        <s v="Delhi Capitals (DC)"/>
        <s v="Kolkata Knight Riders (KKR)"/>
        <s v="Mumbai Indians (MI)"/>
        <s v="Punjab Kings (PBKS)"/>
        <s v="Rajasthan Royals (RR)"/>
        <s v="Royal Challengers Bengaluru (RCB)"/>
        <s v="Sunrisers Hyderabad (SRH)"/>
        <m/>
      </sharedItems>
    </cacheField>
    <cacheField name="[Measures].[Count of Match_ID]" caption="Count of Match_ID" numFmtId="0" hierarchy="67" level="32767"/>
    <cacheField name="[Measures].[TeamWins]" caption="TeamWins" numFmtId="0" hierarchy="59" level="32767"/>
    <cacheField name="[Measures].[TotalRuns]" caption="TotalRuns" numFmtId="0" hierarchy="53" level="32767"/>
    <cacheField name="[dim_player].[Player_Name].[Player_Name]" caption="Player_Name" numFmtId="0" hierarchy="1" level="1">
      <sharedItems containsSemiMixedTypes="0" containsNonDate="0" containsString="0"/>
    </cacheField>
  </cacheFields>
  <cacheHierarchies count="8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4"/>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130" unbalanced="0"/>
    <cacheHierarchy uniqueName="[fact_match].[Team2_Runs]" caption="Team2_Runs" attribute="1" defaultMemberUniqueName="[fact_match].[Team2_Runs].[All]" allUniqueName="[fact_match].[Team2_Runs].[All]" dimensionUniqueName="[fact_match]" displayFolder="" count="0" memberValueDatatype="130" unbalanced="0"/>
    <cacheHierarchy uniqueName="[fact_match].[Team1_Wickets]" caption="Team1_Wickets" attribute="1" defaultMemberUniqueName="[fact_match].[Team1_Wickets].[All]" allUniqueName="[fact_match].[Team1_Wickets].[All]" dimensionUniqueName="[fact_match]" displayFolder="" count="0" memberValueDatatype="130" unbalanced="0"/>
    <cacheHierarchy uniqueName="[fact_match].[Team2_Wickets]" caption="Team2_Wickets" attribute="1" defaultMemberUniqueName="[fact_match].[Team2_Wickets].[All]" allUniqueName="[fact_match].[Team2_Wickets].[All]" dimensionUniqueName="[fact_match]" displayFolder="" count="0" memberValueDatatype="130" unbalanced="0"/>
    <cacheHierarchy uniqueName="[fact_match].[Overs_Team1]" caption="Overs_Team1" attribute="1" defaultMemberUniqueName="[fact_match].[Overs_Team1].[All]" allUniqueName="[fact_match].[Overs_Team1].[All]" dimensionUniqueName="[fact_match]" displayFolder="" count="0" memberValueDatatype="130" unbalanced="0"/>
    <cacheHierarchy uniqueName="[fact_match].[Overs_Team2]" caption="Overs_Team2" attribute="1" defaultMemberUniqueName="[fact_match].[Overs_Team2].[All]" allUniqueName="[fact_match].[Overs_Team2].[All]" dimensionUniqueName="[fact_match]" displayFolder="" count="0" memberValueDatatype="130" unbalanced="0"/>
    <cacheHierarchy uniqueName="[fact_match].[Total_Runs]" caption="Total_Runs" attribute="1" defaultMemberUniqueName="[fact_match].[Total_Runs].[All]" allUniqueName="[fact_match].[Total_Runs].[All]" dimensionUniqueName="[fact_match]" displayFolder="" count="0" memberValueDatatype="5" unbalanced="0"/>
    <cacheHierarchy uniqueName="[fact_match].[Win_margin]" caption="Win_margin" attribute="1" defaultMemberUniqueName="[fact_match].[Win_margin].[All]" allUniqueName="[fact_match].[Win_margin].[All]" dimensionUniqueName="[fact_match]" displayFolder="" count="0" memberValueDatatype="5"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match].[Add Column2]" caption="Add Column2" attribute="1" defaultMemberUniqueName="[fact_match].[Add Column2].[All]" allUniqueName="[fact_match].[Add Column2].[All]" dimensionUniqueName="[fact_match]" displayFolder="" count="0" memberValueDatatype="2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Runs]" caption="TotalRuns" measure="1" displayFolder="" measureGroup="fact_match" count="0" oneField="1">
      <fieldsUsage count="1">
        <fieldUsage x="3"/>
      </fieldsUsage>
    </cacheHierarchy>
    <cacheHierarchy uniqueName="[Measures].[Total_Wickets]" caption="Total_Wickets" measure="1" displayFolder="" measureGroup="fact_match" count="0"/>
    <cacheHierarchy uniqueName="[Measures].[Player_Runs]" caption="Player_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Played]" caption="MatchPlayed" measure="1" displayFolder="" measureGroup="fact_match" count="0"/>
    <cacheHierarchy uniqueName="[Measures].[TeamWins]" caption="TeamWins" measure="1" displayFolder="" measureGroup="fact_match" count="0" oneField="1">
      <fieldsUsage count="1">
        <fieldUsage x="2"/>
      </fieldsUsage>
    </cacheHierarchy>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player" count="0" hidden="1">
      <extLst>
        <ext xmlns:x15="http://schemas.microsoft.com/office/spreadsheetml/2010/11/main" uri="{B97F6D7D-B522-45F9-BDA1-12C45D357490}">
          <x15:cacheHierarchy aggregatedColumn="2"/>
        </ext>
      </extLst>
    </cacheHierarchy>
    <cacheHierarchy uniqueName="[Measures].[Count of Team_ID 2]" caption="Count of Team_ID 2" measure="1" displayFolder="" measureGroup="dim_team" count="0" hidden="1">
      <extLst>
        <ext xmlns:x15="http://schemas.microsoft.com/office/spreadsheetml/2010/11/main" uri="{B97F6D7D-B522-45F9-BDA1-12C45D357490}">
          <x15:cacheHierarchy aggregatedColumn="8"/>
        </ext>
      </extLst>
    </cacheHierarchy>
    <cacheHierarchy uniqueName="[Measures].[Count of Runs]" caption="Count of Runs" measure="1" displayFolder="" measureGroup="fact_player" count="0" hidden="1">
      <extLst>
        <ext xmlns:x15="http://schemas.microsoft.com/office/spreadsheetml/2010/11/main" uri="{B97F6D7D-B522-45F9-BDA1-12C45D357490}">
          <x15:cacheHierarchy aggregatedColumn="43"/>
        </ext>
      </extLst>
    </cacheHierarchy>
    <cacheHierarchy uniqueName="[Measures].[Count of Balls_Faced]" caption="Count of Balls_Faced" measure="1" displayFolder="" measureGroup="fact_player" count="0" hidden="1">
      <extLst>
        <ext xmlns:x15="http://schemas.microsoft.com/office/spreadsheetml/2010/11/main" uri="{B97F6D7D-B522-45F9-BDA1-12C45D357490}">
          <x15:cacheHierarchy aggregatedColumn="44"/>
        </ext>
      </extLst>
    </cacheHierarchy>
    <cacheHierarchy uniqueName="[Measures].[Count of Strike_Rate]" caption="Count of Strike_Rate" measure="1" displayFolder="" measureGroup="fact_player" count="0" hidden="1">
      <extLst>
        <ext xmlns:x15="http://schemas.microsoft.com/office/spreadsheetml/2010/11/main" uri="{B97F6D7D-B522-45F9-BDA1-12C45D357490}">
          <x15:cacheHierarchy aggregatedColumn="47"/>
        </ext>
      </extLst>
    </cacheHierarchy>
    <cacheHierarchy uniqueName="[Measures].[Count of Runs_Conceded]" caption="Count of Runs_Conceded" measure="1" displayFolder="" measureGroup="fact_player" count="0" hidden="1">
      <extLst>
        <ext xmlns:x15="http://schemas.microsoft.com/office/spreadsheetml/2010/11/main" uri="{B97F6D7D-B522-45F9-BDA1-12C45D357490}">
          <x15:cacheHierarchy aggregatedColumn="49"/>
        </ext>
      </extLst>
    </cacheHierarchy>
    <cacheHierarchy uniqueName="[Measures].[Count of Wickets]" caption="Count of Wickets" measure="1" displayFolder="" measureGroup="fact_player" count="0" hidden="1">
      <extLst>
        <ext xmlns:x15="http://schemas.microsoft.com/office/spreadsheetml/2010/11/main" uri="{B97F6D7D-B522-45F9-BDA1-12C45D357490}">
          <x15:cacheHierarchy aggregatedColumn="50"/>
        </ext>
      </extLst>
    </cacheHierarchy>
    <cacheHierarchy uniqueName="[Measures].[Count of Player_Name]" caption="Count of Player_Name" measure="1" displayFolder="" measureGroup="dim_player" count="0" hidden="1">
      <extLst>
        <ext xmlns:x15="http://schemas.microsoft.com/office/spreadsheetml/2010/11/main" uri="{B97F6D7D-B522-45F9-BDA1-12C45D357490}">
          <x15:cacheHierarchy aggregatedColumn="1"/>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3"/>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4"/>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7"/>
        </ext>
      </extLst>
    </cacheHierarchy>
    <cacheHierarchy uniqueName="[Measures].[Sum of Overs_Bowled]" caption="Sum of Overs_Bowled" measure="1" displayFolder="" measureGroup="fact_player" count="0" hidden="1">
      <extLst>
        <ext xmlns:x15="http://schemas.microsoft.com/office/spreadsheetml/2010/11/main" uri="{B97F6D7D-B522-45F9-BDA1-12C45D357490}">
          <x15:cacheHierarchy aggregatedColumn="48"/>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9"/>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50"/>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1"/>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 refreshedDate="46142.432588541669" backgroundQuery="1" createdVersion="8" refreshedVersion="8" minRefreshableVersion="3" recordCount="0" supportSubquery="1" supportAdvancedDrill="1" xr:uid="{F53B1BB1-42AF-42E3-994C-DC65AC3A8277}">
  <cacheSource type="external" connectionId="6"/>
  <cacheFields count="10">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dim_player].[Role].[Role]" caption="Role" numFmtId="0" hierarchy="3" level="1">
      <sharedItems count="1">
        <s v="Batsman"/>
      </sharedItems>
    </cacheField>
    <cacheField name="[dim_team].[Team_Name].[Team_Name]" caption="Team_Name" numFmtId="0" hierarchy="9" level="1">
      <sharedItems containsBlank="1" count="6">
        <s v="Chennai Super Kings (CSK)"/>
        <s v="Delhi Capitals (DC)"/>
        <s v="Kolkata Knight Riders (KKR)"/>
        <s v="Royal Challengers Bengaluru (RCB)"/>
        <s v="Sunrisers Hyderabad (SRH)"/>
        <m/>
      </sharedItems>
    </cacheField>
    <cacheField name="[Measures].[Sum of Runs]" caption="Sum of Runs" numFmtId="0" hierarchy="78" level="32767"/>
    <cacheField name="[Measures].[Sum of Balls_Faced]" caption="Sum of Balls_Faced" numFmtId="0" hierarchy="79" level="32767"/>
    <cacheField name="[Measures].[Sum of Strike_Rate]" caption="Sum of Strike_Rate" numFmtId="0" hierarchy="80" level="32767"/>
    <cacheField name="[Measures].[Sum of Overs_Bowled]" caption="Sum of Overs_Bowled" numFmtId="0" hierarchy="81" level="32767"/>
    <cacheField name="[Measures].[Sum of Runs_Conceded]" caption="Sum of Runs_Conceded" numFmtId="0" hierarchy="82" level="32767"/>
    <cacheField name="[Measures].[Sum of Wickets]" caption="Sum of Wickets" numFmtId="0" hierarchy="83" level="32767"/>
    <cacheField name="[Measures].[Sum of Economy]" caption="Sum of Economy" numFmtId="0" hierarchy="84" level="32767"/>
  </cacheFields>
  <cacheHierarchies count="8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1"/>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130" unbalanced="0"/>
    <cacheHierarchy uniqueName="[fact_match].[Team2_Runs]" caption="Team2_Runs" attribute="1" defaultMemberUniqueName="[fact_match].[Team2_Runs].[All]" allUniqueName="[fact_match].[Team2_Runs].[All]" dimensionUniqueName="[fact_match]" displayFolder="" count="0" memberValueDatatype="130" unbalanced="0"/>
    <cacheHierarchy uniqueName="[fact_match].[Team1_Wickets]" caption="Team1_Wickets" attribute="1" defaultMemberUniqueName="[fact_match].[Team1_Wickets].[All]" allUniqueName="[fact_match].[Team1_Wickets].[All]" dimensionUniqueName="[fact_match]" displayFolder="" count="0" memberValueDatatype="130" unbalanced="0"/>
    <cacheHierarchy uniqueName="[fact_match].[Team2_Wickets]" caption="Team2_Wickets" attribute="1" defaultMemberUniqueName="[fact_match].[Team2_Wickets].[All]" allUniqueName="[fact_match].[Team2_Wickets].[All]" dimensionUniqueName="[fact_match]" displayFolder="" count="0" memberValueDatatype="130" unbalanced="0"/>
    <cacheHierarchy uniqueName="[fact_match].[Overs_Team1]" caption="Overs_Team1" attribute="1" defaultMemberUniqueName="[fact_match].[Overs_Team1].[All]" allUniqueName="[fact_match].[Overs_Team1].[All]" dimensionUniqueName="[fact_match]" displayFolder="" count="0" memberValueDatatype="130" unbalanced="0"/>
    <cacheHierarchy uniqueName="[fact_match].[Overs_Team2]" caption="Overs_Team2" attribute="1" defaultMemberUniqueName="[fact_match].[Overs_Team2].[All]" allUniqueName="[fact_match].[Overs_Team2].[All]" dimensionUniqueName="[fact_match]" displayFolder="" count="0" memberValueDatatype="130" unbalanced="0"/>
    <cacheHierarchy uniqueName="[fact_match].[Total_Runs]" caption="Total_Runs" attribute="1" defaultMemberUniqueName="[fact_match].[Total_Runs].[All]" allUniqueName="[fact_match].[Total_Runs].[All]" dimensionUniqueName="[fact_match]" displayFolder="" count="0" memberValueDatatype="5" unbalanced="0"/>
    <cacheHierarchy uniqueName="[fact_match].[Win_margin]" caption="Win_margin" attribute="1" defaultMemberUniqueName="[fact_match].[Win_margin].[All]" allUniqueName="[fact_match].[Win_margin].[All]" dimensionUniqueName="[fact_match]" displayFolder="" count="0" memberValueDatatype="5"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match].[Add Column2]" caption="Add Column2" attribute="1" defaultMemberUniqueName="[fact_match].[Add Column2].[All]" allUniqueName="[fact_match].[Add Column2].[All]" dimensionUniqueName="[fact_match]" displayFolder="" count="0" memberValueDatatype="2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Runs]" caption="TotalRuns" measure="1" displayFolder="" measureGroup="fact_match" count="0"/>
    <cacheHierarchy uniqueName="[Measures].[Total_Wickets]" caption="Total_Wickets" measure="1" displayFolder="" measureGroup="fact_match" count="0"/>
    <cacheHierarchy uniqueName="[Measures].[Player_Runs]" caption="Player_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Played]" caption="Match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player" count="0" hidden="1">
      <extLst>
        <ext xmlns:x15="http://schemas.microsoft.com/office/spreadsheetml/2010/11/main" uri="{B97F6D7D-B522-45F9-BDA1-12C45D357490}">
          <x15:cacheHierarchy aggregatedColumn="2"/>
        </ext>
      </extLst>
    </cacheHierarchy>
    <cacheHierarchy uniqueName="[Measures].[Count of Team_ID 2]" caption="Count of Team_ID 2" measure="1" displayFolder="" measureGroup="dim_team" count="0" hidden="1">
      <extLst>
        <ext xmlns:x15="http://schemas.microsoft.com/office/spreadsheetml/2010/11/main" uri="{B97F6D7D-B522-45F9-BDA1-12C45D357490}">
          <x15:cacheHierarchy aggregatedColumn="8"/>
        </ext>
      </extLst>
    </cacheHierarchy>
    <cacheHierarchy uniqueName="[Measures].[Count of Runs]" caption="Count of Runs" measure="1" displayFolder="" measureGroup="fact_player" count="0" hidden="1">
      <extLst>
        <ext xmlns:x15="http://schemas.microsoft.com/office/spreadsheetml/2010/11/main" uri="{B97F6D7D-B522-45F9-BDA1-12C45D357490}">
          <x15:cacheHierarchy aggregatedColumn="43"/>
        </ext>
      </extLst>
    </cacheHierarchy>
    <cacheHierarchy uniqueName="[Measures].[Count of Balls_Faced]" caption="Count of Balls_Faced" measure="1" displayFolder="" measureGroup="fact_player" count="0" hidden="1">
      <extLst>
        <ext xmlns:x15="http://schemas.microsoft.com/office/spreadsheetml/2010/11/main" uri="{B97F6D7D-B522-45F9-BDA1-12C45D357490}">
          <x15:cacheHierarchy aggregatedColumn="44"/>
        </ext>
      </extLst>
    </cacheHierarchy>
    <cacheHierarchy uniqueName="[Measures].[Count of Strike_Rate]" caption="Count of Strike_Rate" measure="1" displayFolder="" measureGroup="fact_player" count="0" hidden="1">
      <extLst>
        <ext xmlns:x15="http://schemas.microsoft.com/office/spreadsheetml/2010/11/main" uri="{B97F6D7D-B522-45F9-BDA1-12C45D357490}">
          <x15:cacheHierarchy aggregatedColumn="47"/>
        </ext>
      </extLst>
    </cacheHierarchy>
    <cacheHierarchy uniqueName="[Measures].[Count of Runs_Conceded]" caption="Count of Runs_Conceded" measure="1" displayFolder="" measureGroup="fact_player" count="0" hidden="1">
      <extLst>
        <ext xmlns:x15="http://schemas.microsoft.com/office/spreadsheetml/2010/11/main" uri="{B97F6D7D-B522-45F9-BDA1-12C45D357490}">
          <x15:cacheHierarchy aggregatedColumn="49"/>
        </ext>
      </extLst>
    </cacheHierarchy>
    <cacheHierarchy uniqueName="[Measures].[Count of Wickets]" caption="Count of Wickets" measure="1" displayFolder="" measureGroup="fact_player" count="0" hidden="1">
      <extLst>
        <ext xmlns:x15="http://schemas.microsoft.com/office/spreadsheetml/2010/11/main" uri="{B97F6D7D-B522-45F9-BDA1-12C45D357490}">
          <x15:cacheHierarchy aggregatedColumn="50"/>
        </ext>
      </extLst>
    </cacheHierarchy>
    <cacheHierarchy uniqueName="[Measures].[Count of Player_Name]" caption="Count of Player_Name" measure="1" displayFolder="" measureGroup="dim_player" count="0" hidden="1">
      <extLst>
        <ext xmlns:x15="http://schemas.microsoft.com/office/spreadsheetml/2010/11/main" uri="{B97F6D7D-B522-45F9-BDA1-12C45D357490}">
          <x15:cacheHierarchy aggregatedColumn="1"/>
        </ext>
      </extLst>
    </cacheHierarchy>
    <cacheHierarchy uniqueName="[Measures].[Sum of Runs]" caption="Sum of Runs" measure="1" displayFolder="" measureGroup="fact_player" count="0" oneField="1" hidden="1">
      <fieldsUsage count="1">
        <fieldUsage x="3"/>
      </fieldsUsage>
      <extLst>
        <ext xmlns:x15="http://schemas.microsoft.com/office/spreadsheetml/2010/11/main" uri="{B97F6D7D-B522-45F9-BDA1-12C45D357490}">
          <x15:cacheHierarchy aggregatedColumn="43"/>
        </ext>
      </extLst>
    </cacheHierarchy>
    <cacheHierarchy uniqueName="[Measures].[Sum of Balls_Faced]" caption="Sum of Balls_Faced" measure="1" displayFolder="" measureGroup="fact_player" count="0" oneField="1" hidden="1">
      <fieldsUsage count="1">
        <fieldUsage x="4"/>
      </fieldsUsage>
      <extLst>
        <ext xmlns:x15="http://schemas.microsoft.com/office/spreadsheetml/2010/11/main" uri="{B97F6D7D-B522-45F9-BDA1-12C45D357490}">
          <x15:cacheHierarchy aggregatedColumn="44"/>
        </ext>
      </extLst>
    </cacheHierarchy>
    <cacheHierarchy uniqueName="[Measures].[Sum of Strike_Rate]" caption="Sum of Strike_Rate" measure="1" displayFolder="" measureGroup="fact_player" count="0" oneField="1" hidden="1">
      <fieldsUsage count="1">
        <fieldUsage x="5"/>
      </fieldsUsage>
      <extLst>
        <ext xmlns:x15="http://schemas.microsoft.com/office/spreadsheetml/2010/11/main" uri="{B97F6D7D-B522-45F9-BDA1-12C45D357490}">
          <x15:cacheHierarchy aggregatedColumn="47"/>
        </ext>
      </extLst>
    </cacheHierarchy>
    <cacheHierarchy uniqueName="[Measures].[Sum of Overs_Bowled]" caption="Sum of Overs_Bowled" measure="1" displayFolder="" measureGroup="fact_player" count="0" oneField="1" hidden="1">
      <fieldsUsage count="1">
        <fieldUsage x="6"/>
      </fieldsUsage>
      <extLst>
        <ext xmlns:x15="http://schemas.microsoft.com/office/spreadsheetml/2010/11/main" uri="{B97F6D7D-B522-45F9-BDA1-12C45D357490}">
          <x15:cacheHierarchy aggregatedColumn="48"/>
        </ext>
      </extLst>
    </cacheHierarchy>
    <cacheHierarchy uniqueName="[Measures].[Sum of Runs_Conceded]" caption="Sum of Runs_Conceded" measure="1" displayFolder="" measureGroup="fact_player" count="0" oneField="1" hidden="1">
      <fieldsUsage count="1">
        <fieldUsage x="7"/>
      </fieldsUsage>
      <extLst>
        <ext xmlns:x15="http://schemas.microsoft.com/office/spreadsheetml/2010/11/main" uri="{B97F6D7D-B522-45F9-BDA1-12C45D357490}">
          <x15:cacheHierarchy aggregatedColumn="49"/>
        </ext>
      </extLst>
    </cacheHierarchy>
    <cacheHierarchy uniqueName="[Measures].[Sum of Wickets]" caption="Sum of Wickets" measure="1" displayFolder="" measureGroup="fact_player" count="0" oneField="1" hidden="1">
      <fieldsUsage count="1">
        <fieldUsage x="8"/>
      </fieldsUsage>
      <extLst>
        <ext xmlns:x15="http://schemas.microsoft.com/office/spreadsheetml/2010/11/main" uri="{B97F6D7D-B522-45F9-BDA1-12C45D357490}">
          <x15:cacheHierarchy aggregatedColumn="50"/>
        </ext>
      </extLst>
    </cacheHierarchy>
    <cacheHierarchy uniqueName="[Measures].[Sum of Economy]" caption="Sum of Economy" measure="1" displayFolder="" measureGroup="fact_player" count="0" oneField="1" hidden="1">
      <fieldsUsage count="1">
        <fieldUsage x="9"/>
      </fieldsUsage>
      <extLst>
        <ext xmlns:x15="http://schemas.microsoft.com/office/spreadsheetml/2010/11/main" uri="{B97F6D7D-B522-45F9-BDA1-12C45D357490}">
          <x15:cacheHierarchy aggregatedColumn="51"/>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 refreshedDate="46142.434570370373" backgroundQuery="1" createdVersion="8" refreshedVersion="8" minRefreshableVersion="3" recordCount="0" supportSubquery="1" supportAdvancedDrill="1" xr:uid="{62040AA4-08E7-4C95-997B-98AA3EE12C60}">
  <cacheSource type="external" connectionId="6"/>
  <cacheFields count="4">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dim_player].[Role].[Role]" caption="Role" numFmtId="0" hierarchy="3" level="1">
      <sharedItems count="1">
        <s v="Batsman"/>
      </sharedItems>
    </cacheField>
    <cacheField name="[dim_team].[Team_Name].[Team_Name]" caption="Team_Name" numFmtId="0" hierarchy="9" level="1">
      <sharedItems containsBlank="1" count="6">
        <s v="Chennai Super Kings (CSK)"/>
        <s v="Delhi Capitals (DC)"/>
        <s v="Kolkata Knight Riders (KKR)"/>
        <s v="Royal Challengers Bengaluru (RCB)"/>
        <s v="Sunrisers Hyderabad (SRH)"/>
        <m/>
      </sharedItems>
    </cacheField>
    <cacheField name="[Measures].[Sum of Wickets]" caption="Sum of Wickets" numFmtId="0" hierarchy="83" level="32767"/>
  </cacheFields>
  <cacheHierarchies count="8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1"/>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130" unbalanced="0"/>
    <cacheHierarchy uniqueName="[fact_match].[Team2_Runs]" caption="Team2_Runs" attribute="1" defaultMemberUniqueName="[fact_match].[Team2_Runs].[All]" allUniqueName="[fact_match].[Team2_Runs].[All]" dimensionUniqueName="[fact_match]" displayFolder="" count="0" memberValueDatatype="130" unbalanced="0"/>
    <cacheHierarchy uniqueName="[fact_match].[Team1_Wickets]" caption="Team1_Wickets" attribute="1" defaultMemberUniqueName="[fact_match].[Team1_Wickets].[All]" allUniqueName="[fact_match].[Team1_Wickets].[All]" dimensionUniqueName="[fact_match]" displayFolder="" count="0" memberValueDatatype="130" unbalanced="0"/>
    <cacheHierarchy uniqueName="[fact_match].[Team2_Wickets]" caption="Team2_Wickets" attribute="1" defaultMemberUniqueName="[fact_match].[Team2_Wickets].[All]" allUniqueName="[fact_match].[Team2_Wickets].[All]" dimensionUniqueName="[fact_match]" displayFolder="" count="0" memberValueDatatype="130" unbalanced="0"/>
    <cacheHierarchy uniqueName="[fact_match].[Overs_Team1]" caption="Overs_Team1" attribute="1" defaultMemberUniqueName="[fact_match].[Overs_Team1].[All]" allUniqueName="[fact_match].[Overs_Team1].[All]" dimensionUniqueName="[fact_match]" displayFolder="" count="0" memberValueDatatype="130" unbalanced="0"/>
    <cacheHierarchy uniqueName="[fact_match].[Overs_Team2]" caption="Overs_Team2" attribute="1" defaultMemberUniqueName="[fact_match].[Overs_Team2].[All]" allUniqueName="[fact_match].[Overs_Team2].[All]" dimensionUniqueName="[fact_match]" displayFolder="" count="0" memberValueDatatype="130" unbalanced="0"/>
    <cacheHierarchy uniqueName="[fact_match].[Total_Runs]" caption="Total_Runs" attribute="1" defaultMemberUniqueName="[fact_match].[Total_Runs].[All]" allUniqueName="[fact_match].[Total_Runs].[All]" dimensionUniqueName="[fact_match]" displayFolder="" count="0" memberValueDatatype="5" unbalanced="0"/>
    <cacheHierarchy uniqueName="[fact_match].[Win_margin]" caption="Win_margin" attribute="1" defaultMemberUniqueName="[fact_match].[Win_margin].[All]" allUniqueName="[fact_match].[Win_margin].[All]" dimensionUniqueName="[fact_match]" displayFolder="" count="0" memberValueDatatype="5"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match].[Add Column2]" caption="Add Column2" attribute="1" defaultMemberUniqueName="[fact_match].[Add Column2].[All]" allUniqueName="[fact_match].[Add Column2].[All]" dimensionUniqueName="[fact_match]" displayFolder="" count="0" memberValueDatatype="2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Runs]" caption="TotalRuns" measure="1" displayFolder="" measureGroup="fact_match" count="0"/>
    <cacheHierarchy uniqueName="[Measures].[Total_Wickets]" caption="Total_Wickets" measure="1" displayFolder="" measureGroup="fact_match" count="0"/>
    <cacheHierarchy uniqueName="[Measures].[Player_Runs]" caption="Player_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Played]" caption="Match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player" count="0" hidden="1">
      <extLst>
        <ext xmlns:x15="http://schemas.microsoft.com/office/spreadsheetml/2010/11/main" uri="{B97F6D7D-B522-45F9-BDA1-12C45D357490}">
          <x15:cacheHierarchy aggregatedColumn="2"/>
        </ext>
      </extLst>
    </cacheHierarchy>
    <cacheHierarchy uniqueName="[Measures].[Count of Team_ID 2]" caption="Count of Team_ID 2" measure="1" displayFolder="" measureGroup="dim_team" count="0" hidden="1">
      <extLst>
        <ext xmlns:x15="http://schemas.microsoft.com/office/spreadsheetml/2010/11/main" uri="{B97F6D7D-B522-45F9-BDA1-12C45D357490}">
          <x15:cacheHierarchy aggregatedColumn="8"/>
        </ext>
      </extLst>
    </cacheHierarchy>
    <cacheHierarchy uniqueName="[Measures].[Count of Runs]" caption="Count of Runs" measure="1" displayFolder="" measureGroup="fact_player" count="0" hidden="1">
      <extLst>
        <ext xmlns:x15="http://schemas.microsoft.com/office/spreadsheetml/2010/11/main" uri="{B97F6D7D-B522-45F9-BDA1-12C45D357490}">
          <x15:cacheHierarchy aggregatedColumn="43"/>
        </ext>
      </extLst>
    </cacheHierarchy>
    <cacheHierarchy uniqueName="[Measures].[Count of Balls_Faced]" caption="Count of Balls_Faced" measure="1" displayFolder="" measureGroup="fact_player" count="0" hidden="1">
      <extLst>
        <ext xmlns:x15="http://schemas.microsoft.com/office/spreadsheetml/2010/11/main" uri="{B97F6D7D-B522-45F9-BDA1-12C45D357490}">
          <x15:cacheHierarchy aggregatedColumn="44"/>
        </ext>
      </extLst>
    </cacheHierarchy>
    <cacheHierarchy uniqueName="[Measures].[Count of Strike_Rate]" caption="Count of Strike_Rate" measure="1" displayFolder="" measureGroup="fact_player" count="0" hidden="1">
      <extLst>
        <ext xmlns:x15="http://schemas.microsoft.com/office/spreadsheetml/2010/11/main" uri="{B97F6D7D-B522-45F9-BDA1-12C45D357490}">
          <x15:cacheHierarchy aggregatedColumn="47"/>
        </ext>
      </extLst>
    </cacheHierarchy>
    <cacheHierarchy uniqueName="[Measures].[Count of Runs_Conceded]" caption="Count of Runs_Conceded" measure="1" displayFolder="" measureGroup="fact_player" count="0" hidden="1">
      <extLst>
        <ext xmlns:x15="http://schemas.microsoft.com/office/spreadsheetml/2010/11/main" uri="{B97F6D7D-B522-45F9-BDA1-12C45D357490}">
          <x15:cacheHierarchy aggregatedColumn="49"/>
        </ext>
      </extLst>
    </cacheHierarchy>
    <cacheHierarchy uniqueName="[Measures].[Count of Wickets]" caption="Count of Wickets" measure="1" displayFolder="" measureGroup="fact_player" count="0" hidden="1">
      <extLst>
        <ext xmlns:x15="http://schemas.microsoft.com/office/spreadsheetml/2010/11/main" uri="{B97F6D7D-B522-45F9-BDA1-12C45D357490}">
          <x15:cacheHierarchy aggregatedColumn="50"/>
        </ext>
      </extLst>
    </cacheHierarchy>
    <cacheHierarchy uniqueName="[Measures].[Count of Player_Name]" caption="Count of Player_Name" measure="1" displayFolder="" measureGroup="dim_player" count="0" hidden="1">
      <extLst>
        <ext xmlns:x15="http://schemas.microsoft.com/office/spreadsheetml/2010/11/main" uri="{B97F6D7D-B522-45F9-BDA1-12C45D357490}">
          <x15:cacheHierarchy aggregatedColumn="1"/>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3"/>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4"/>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7"/>
        </ext>
      </extLst>
    </cacheHierarchy>
    <cacheHierarchy uniqueName="[Measures].[Sum of Overs_Bowled]" caption="Sum of Overs_Bowled" measure="1" displayFolder="" measureGroup="fact_player" count="0" hidden="1">
      <extLst>
        <ext xmlns:x15="http://schemas.microsoft.com/office/spreadsheetml/2010/11/main" uri="{B97F6D7D-B522-45F9-BDA1-12C45D357490}">
          <x15:cacheHierarchy aggregatedColumn="48"/>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9"/>
        </ext>
      </extLst>
    </cacheHierarchy>
    <cacheHierarchy uniqueName="[Measures].[Sum of Wickets]" caption="Sum of Wickets" measure="1" displayFolder="" measureGroup="fact_player" count="0" oneField="1" hidden="1">
      <fieldsUsage count="1">
        <fieldUsage x="3"/>
      </fieldsUsage>
      <extLst>
        <ext xmlns:x15="http://schemas.microsoft.com/office/spreadsheetml/2010/11/main" uri="{B97F6D7D-B522-45F9-BDA1-12C45D357490}">
          <x15:cacheHierarchy aggregatedColumn="50"/>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1"/>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 refreshedDate="46142.43547152778" backgroundQuery="1" createdVersion="8" refreshedVersion="8" minRefreshableVersion="3" recordCount="0" supportSubquery="1" supportAdvancedDrill="1" xr:uid="{377B37F2-F70B-4D2E-AE1A-C3BF41A4AD9C}">
  <cacheSource type="external" connectionId="6"/>
  <cacheFields count="4">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dim_player].[Role].[Role]" caption="Role" numFmtId="0" hierarchy="3" level="1">
      <sharedItems count="1">
        <s v="Batsman"/>
      </sharedItems>
    </cacheField>
    <cacheField name="[dim_team].[Team_Name].[Team_Name]" caption="Team_Name" numFmtId="0" hierarchy="9" level="1">
      <sharedItems containsBlank="1" count="6">
        <s v="Chennai Super Kings (CSK)"/>
        <s v="Delhi Capitals (DC)"/>
        <s v="Kolkata Knight Riders (KKR)"/>
        <s v="Royal Challengers Bengaluru (RCB)"/>
        <s v="Sunrisers Hyderabad (SRH)"/>
        <m/>
      </sharedItems>
    </cacheField>
    <cacheField name="[Measures].[Sum of Economy]" caption="Sum of Economy" numFmtId="0" hierarchy="84" level="32767"/>
  </cacheFields>
  <cacheHierarchies count="8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1"/>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130" unbalanced="0"/>
    <cacheHierarchy uniqueName="[fact_match].[Team2_Runs]" caption="Team2_Runs" attribute="1" defaultMemberUniqueName="[fact_match].[Team2_Runs].[All]" allUniqueName="[fact_match].[Team2_Runs].[All]" dimensionUniqueName="[fact_match]" displayFolder="" count="0" memberValueDatatype="130" unbalanced="0"/>
    <cacheHierarchy uniqueName="[fact_match].[Team1_Wickets]" caption="Team1_Wickets" attribute="1" defaultMemberUniqueName="[fact_match].[Team1_Wickets].[All]" allUniqueName="[fact_match].[Team1_Wickets].[All]" dimensionUniqueName="[fact_match]" displayFolder="" count="0" memberValueDatatype="130" unbalanced="0"/>
    <cacheHierarchy uniqueName="[fact_match].[Team2_Wickets]" caption="Team2_Wickets" attribute="1" defaultMemberUniqueName="[fact_match].[Team2_Wickets].[All]" allUniqueName="[fact_match].[Team2_Wickets].[All]" dimensionUniqueName="[fact_match]" displayFolder="" count="0" memberValueDatatype="130" unbalanced="0"/>
    <cacheHierarchy uniqueName="[fact_match].[Overs_Team1]" caption="Overs_Team1" attribute="1" defaultMemberUniqueName="[fact_match].[Overs_Team1].[All]" allUniqueName="[fact_match].[Overs_Team1].[All]" dimensionUniqueName="[fact_match]" displayFolder="" count="0" memberValueDatatype="130" unbalanced="0"/>
    <cacheHierarchy uniqueName="[fact_match].[Overs_Team2]" caption="Overs_Team2" attribute="1" defaultMemberUniqueName="[fact_match].[Overs_Team2].[All]" allUniqueName="[fact_match].[Overs_Team2].[All]" dimensionUniqueName="[fact_match]" displayFolder="" count="0" memberValueDatatype="130" unbalanced="0"/>
    <cacheHierarchy uniqueName="[fact_match].[Total_Runs]" caption="Total_Runs" attribute="1" defaultMemberUniqueName="[fact_match].[Total_Runs].[All]" allUniqueName="[fact_match].[Total_Runs].[All]" dimensionUniqueName="[fact_match]" displayFolder="" count="0" memberValueDatatype="5" unbalanced="0"/>
    <cacheHierarchy uniqueName="[fact_match].[Win_margin]" caption="Win_margin" attribute="1" defaultMemberUniqueName="[fact_match].[Win_margin].[All]" allUniqueName="[fact_match].[Win_margin].[All]" dimensionUniqueName="[fact_match]" displayFolder="" count="0" memberValueDatatype="5"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match].[Add Column2]" caption="Add Column2" attribute="1" defaultMemberUniqueName="[fact_match].[Add Column2].[All]" allUniqueName="[fact_match].[Add Column2].[All]" dimensionUniqueName="[fact_match]" displayFolder="" count="0" memberValueDatatype="2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Runs]" caption="TotalRuns" measure="1" displayFolder="" measureGroup="fact_match" count="0"/>
    <cacheHierarchy uniqueName="[Measures].[Total_Wickets]" caption="Total_Wickets" measure="1" displayFolder="" measureGroup="fact_match" count="0"/>
    <cacheHierarchy uniqueName="[Measures].[Player_Runs]" caption="Player_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Played]" caption="Match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player" count="0" hidden="1">
      <extLst>
        <ext xmlns:x15="http://schemas.microsoft.com/office/spreadsheetml/2010/11/main" uri="{B97F6D7D-B522-45F9-BDA1-12C45D357490}">
          <x15:cacheHierarchy aggregatedColumn="2"/>
        </ext>
      </extLst>
    </cacheHierarchy>
    <cacheHierarchy uniqueName="[Measures].[Count of Team_ID 2]" caption="Count of Team_ID 2" measure="1" displayFolder="" measureGroup="dim_team" count="0" hidden="1">
      <extLst>
        <ext xmlns:x15="http://schemas.microsoft.com/office/spreadsheetml/2010/11/main" uri="{B97F6D7D-B522-45F9-BDA1-12C45D357490}">
          <x15:cacheHierarchy aggregatedColumn="8"/>
        </ext>
      </extLst>
    </cacheHierarchy>
    <cacheHierarchy uniqueName="[Measures].[Count of Runs]" caption="Count of Runs" measure="1" displayFolder="" measureGroup="fact_player" count="0" hidden="1">
      <extLst>
        <ext xmlns:x15="http://schemas.microsoft.com/office/spreadsheetml/2010/11/main" uri="{B97F6D7D-B522-45F9-BDA1-12C45D357490}">
          <x15:cacheHierarchy aggregatedColumn="43"/>
        </ext>
      </extLst>
    </cacheHierarchy>
    <cacheHierarchy uniqueName="[Measures].[Count of Balls_Faced]" caption="Count of Balls_Faced" measure="1" displayFolder="" measureGroup="fact_player" count="0" hidden="1">
      <extLst>
        <ext xmlns:x15="http://schemas.microsoft.com/office/spreadsheetml/2010/11/main" uri="{B97F6D7D-B522-45F9-BDA1-12C45D357490}">
          <x15:cacheHierarchy aggregatedColumn="44"/>
        </ext>
      </extLst>
    </cacheHierarchy>
    <cacheHierarchy uniqueName="[Measures].[Count of Strike_Rate]" caption="Count of Strike_Rate" measure="1" displayFolder="" measureGroup="fact_player" count="0" hidden="1">
      <extLst>
        <ext xmlns:x15="http://schemas.microsoft.com/office/spreadsheetml/2010/11/main" uri="{B97F6D7D-B522-45F9-BDA1-12C45D357490}">
          <x15:cacheHierarchy aggregatedColumn="47"/>
        </ext>
      </extLst>
    </cacheHierarchy>
    <cacheHierarchy uniqueName="[Measures].[Count of Runs_Conceded]" caption="Count of Runs_Conceded" measure="1" displayFolder="" measureGroup="fact_player" count="0" hidden="1">
      <extLst>
        <ext xmlns:x15="http://schemas.microsoft.com/office/spreadsheetml/2010/11/main" uri="{B97F6D7D-B522-45F9-BDA1-12C45D357490}">
          <x15:cacheHierarchy aggregatedColumn="49"/>
        </ext>
      </extLst>
    </cacheHierarchy>
    <cacheHierarchy uniqueName="[Measures].[Count of Wickets]" caption="Count of Wickets" measure="1" displayFolder="" measureGroup="fact_player" count="0" hidden="1">
      <extLst>
        <ext xmlns:x15="http://schemas.microsoft.com/office/spreadsheetml/2010/11/main" uri="{B97F6D7D-B522-45F9-BDA1-12C45D357490}">
          <x15:cacheHierarchy aggregatedColumn="50"/>
        </ext>
      </extLst>
    </cacheHierarchy>
    <cacheHierarchy uniqueName="[Measures].[Count of Player_Name]" caption="Count of Player_Name" measure="1" displayFolder="" measureGroup="dim_player" count="0" hidden="1">
      <extLst>
        <ext xmlns:x15="http://schemas.microsoft.com/office/spreadsheetml/2010/11/main" uri="{B97F6D7D-B522-45F9-BDA1-12C45D357490}">
          <x15:cacheHierarchy aggregatedColumn="1"/>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3"/>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4"/>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7"/>
        </ext>
      </extLst>
    </cacheHierarchy>
    <cacheHierarchy uniqueName="[Measures].[Sum of Overs_Bowled]" caption="Sum of Overs_Bowled" measure="1" displayFolder="" measureGroup="fact_player" count="0" hidden="1">
      <extLst>
        <ext xmlns:x15="http://schemas.microsoft.com/office/spreadsheetml/2010/11/main" uri="{B97F6D7D-B522-45F9-BDA1-12C45D357490}">
          <x15:cacheHierarchy aggregatedColumn="48"/>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9"/>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50"/>
        </ext>
      </extLst>
    </cacheHierarchy>
    <cacheHierarchy uniqueName="[Measures].[Sum of Economy]" caption="Sum of Economy" measure="1" displayFolder="" measureGroup="fact_player" count="0" oneField="1" hidden="1">
      <fieldsUsage count="1">
        <fieldUsage x="3"/>
      </fieldsUsage>
      <extLst>
        <ext xmlns:x15="http://schemas.microsoft.com/office/spreadsheetml/2010/11/main" uri="{B97F6D7D-B522-45F9-BDA1-12C45D357490}">
          <x15:cacheHierarchy aggregatedColumn="51"/>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 refreshedDate="46142.438471759262" backgroundQuery="1" createdVersion="8" refreshedVersion="8" minRefreshableVersion="3" recordCount="0" supportSubquery="1" supportAdvancedDrill="1" xr:uid="{11AC04A4-D258-4224-8058-29EB671B6B8E}">
  <cacheSource type="external" connectionId="6"/>
  <cacheFields count="5">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dim_player].[Role].[Role]" caption="Role" numFmtId="0" hierarchy="3" level="1">
      <sharedItems count="1">
        <s v="Batsman"/>
      </sharedItems>
    </cacheField>
    <cacheField name="[dim_team].[Team_Name].[Team_Name]" caption="Team_Name" numFmtId="0" hierarchy="9" level="1">
      <sharedItems containsBlank="1" count="6">
        <s v="Chennai Super Kings (CSK)"/>
        <s v="Delhi Capitals (DC)"/>
        <s v="Kolkata Knight Riders (KKR)"/>
        <s v="Royal Challengers Bengaluru (RCB)"/>
        <s v="Sunrisers Hyderabad (SRH)"/>
        <m/>
      </sharedItems>
    </cacheField>
    <cacheField name="[Measures].[Sum of Strike_Rate]" caption="Sum of Strike_Rate" numFmtId="0" hierarchy="80" level="32767"/>
    <cacheField name="[Measures].[PlayerAverageStrikeRate]" caption="PlayerAverageStrikeRate" numFmtId="0" hierarchy="57" level="32767"/>
  </cacheFields>
  <cacheHierarchies count="8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1"/>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130" unbalanced="0"/>
    <cacheHierarchy uniqueName="[fact_match].[Team2_Runs]" caption="Team2_Runs" attribute="1" defaultMemberUniqueName="[fact_match].[Team2_Runs].[All]" allUniqueName="[fact_match].[Team2_Runs].[All]" dimensionUniqueName="[fact_match]" displayFolder="" count="0" memberValueDatatype="130" unbalanced="0"/>
    <cacheHierarchy uniqueName="[fact_match].[Team1_Wickets]" caption="Team1_Wickets" attribute="1" defaultMemberUniqueName="[fact_match].[Team1_Wickets].[All]" allUniqueName="[fact_match].[Team1_Wickets].[All]" dimensionUniqueName="[fact_match]" displayFolder="" count="0" memberValueDatatype="130" unbalanced="0"/>
    <cacheHierarchy uniqueName="[fact_match].[Team2_Wickets]" caption="Team2_Wickets" attribute="1" defaultMemberUniqueName="[fact_match].[Team2_Wickets].[All]" allUniqueName="[fact_match].[Team2_Wickets].[All]" dimensionUniqueName="[fact_match]" displayFolder="" count="0" memberValueDatatype="130" unbalanced="0"/>
    <cacheHierarchy uniqueName="[fact_match].[Overs_Team1]" caption="Overs_Team1" attribute="1" defaultMemberUniqueName="[fact_match].[Overs_Team1].[All]" allUniqueName="[fact_match].[Overs_Team1].[All]" dimensionUniqueName="[fact_match]" displayFolder="" count="0" memberValueDatatype="130" unbalanced="0"/>
    <cacheHierarchy uniqueName="[fact_match].[Overs_Team2]" caption="Overs_Team2" attribute="1" defaultMemberUniqueName="[fact_match].[Overs_Team2].[All]" allUniqueName="[fact_match].[Overs_Team2].[All]" dimensionUniqueName="[fact_match]" displayFolder="" count="0" memberValueDatatype="130" unbalanced="0"/>
    <cacheHierarchy uniqueName="[fact_match].[Total_Runs]" caption="Total_Runs" attribute="1" defaultMemberUniqueName="[fact_match].[Total_Runs].[All]" allUniqueName="[fact_match].[Total_Runs].[All]" dimensionUniqueName="[fact_match]" displayFolder="" count="0" memberValueDatatype="5" unbalanced="0"/>
    <cacheHierarchy uniqueName="[fact_match].[Win_margin]" caption="Win_margin" attribute="1" defaultMemberUniqueName="[fact_match].[Win_margin].[All]" allUniqueName="[fact_match].[Win_margin].[All]" dimensionUniqueName="[fact_match]" displayFolder="" count="0" memberValueDatatype="5"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match].[Add Column2]" caption="Add Column2" attribute="1" defaultMemberUniqueName="[fact_match].[Add Column2].[All]" allUniqueName="[fact_match].[Add Column2].[All]" dimensionUniqueName="[fact_match]" displayFolder="" count="0" memberValueDatatype="2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Runs]" caption="TotalRuns" measure="1" displayFolder="" measureGroup="fact_match" count="0"/>
    <cacheHierarchy uniqueName="[Measures].[Total_Wickets]" caption="Total_Wickets" measure="1" displayFolder="" measureGroup="fact_match" count="0"/>
    <cacheHierarchy uniqueName="[Measures].[Player_Runs]" caption="Player_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oneField="1">
      <fieldsUsage count="1">
        <fieldUsage x="4"/>
      </fieldsUsage>
    </cacheHierarchy>
    <cacheHierarchy uniqueName="[Measures].[MatchPlayed]" caption="Match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player" count="0" hidden="1">
      <extLst>
        <ext xmlns:x15="http://schemas.microsoft.com/office/spreadsheetml/2010/11/main" uri="{B97F6D7D-B522-45F9-BDA1-12C45D357490}">
          <x15:cacheHierarchy aggregatedColumn="2"/>
        </ext>
      </extLst>
    </cacheHierarchy>
    <cacheHierarchy uniqueName="[Measures].[Count of Team_ID 2]" caption="Count of Team_ID 2" measure="1" displayFolder="" measureGroup="dim_team" count="0" hidden="1">
      <extLst>
        <ext xmlns:x15="http://schemas.microsoft.com/office/spreadsheetml/2010/11/main" uri="{B97F6D7D-B522-45F9-BDA1-12C45D357490}">
          <x15:cacheHierarchy aggregatedColumn="8"/>
        </ext>
      </extLst>
    </cacheHierarchy>
    <cacheHierarchy uniqueName="[Measures].[Count of Runs]" caption="Count of Runs" measure="1" displayFolder="" measureGroup="fact_player" count="0" hidden="1">
      <extLst>
        <ext xmlns:x15="http://schemas.microsoft.com/office/spreadsheetml/2010/11/main" uri="{B97F6D7D-B522-45F9-BDA1-12C45D357490}">
          <x15:cacheHierarchy aggregatedColumn="43"/>
        </ext>
      </extLst>
    </cacheHierarchy>
    <cacheHierarchy uniqueName="[Measures].[Count of Balls_Faced]" caption="Count of Balls_Faced" measure="1" displayFolder="" measureGroup="fact_player" count="0" hidden="1">
      <extLst>
        <ext xmlns:x15="http://schemas.microsoft.com/office/spreadsheetml/2010/11/main" uri="{B97F6D7D-B522-45F9-BDA1-12C45D357490}">
          <x15:cacheHierarchy aggregatedColumn="44"/>
        </ext>
      </extLst>
    </cacheHierarchy>
    <cacheHierarchy uniqueName="[Measures].[Count of Strike_Rate]" caption="Count of Strike_Rate" measure="1" displayFolder="" measureGroup="fact_player" count="0" hidden="1">
      <extLst>
        <ext xmlns:x15="http://schemas.microsoft.com/office/spreadsheetml/2010/11/main" uri="{B97F6D7D-B522-45F9-BDA1-12C45D357490}">
          <x15:cacheHierarchy aggregatedColumn="47"/>
        </ext>
      </extLst>
    </cacheHierarchy>
    <cacheHierarchy uniqueName="[Measures].[Count of Runs_Conceded]" caption="Count of Runs_Conceded" measure="1" displayFolder="" measureGroup="fact_player" count="0" hidden="1">
      <extLst>
        <ext xmlns:x15="http://schemas.microsoft.com/office/spreadsheetml/2010/11/main" uri="{B97F6D7D-B522-45F9-BDA1-12C45D357490}">
          <x15:cacheHierarchy aggregatedColumn="49"/>
        </ext>
      </extLst>
    </cacheHierarchy>
    <cacheHierarchy uniqueName="[Measures].[Count of Wickets]" caption="Count of Wickets" measure="1" displayFolder="" measureGroup="fact_player" count="0" hidden="1">
      <extLst>
        <ext xmlns:x15="http://schemas.microsoft.com/office/spreadsheetml/2010/11/main" uri="{B97F6D7D-B522-45F9-BDA1-12C45D357490}">
          <x15:cacheHierarchy aggregatedColumn="50"/>
        </ext>
      </extLst>
    </cacheHierarchy>
    <cacheHierarchy uniqueName="[Measures].[Count of Player_Name]" caption="Count of Player_Name" measure="1" displayFolder="" measureGroup="dim_player" count="0" hidden="1">
      <extLst>
        <ext xmlns:x15="http://schemas.microsoft.com/office/spreadsheetml/2010/11/main" uri="{B97F6D7D-B522-45F9-BDA1-12C45D357490}">
          <x15:cacheHierarchy aggregatedColumn="1"/>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3"/>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4"/>
        </ext>
      </extLst>
    </cacheHierarchy>
    <cacheHierarchy uniqueName="[Measures].[Sum of Strike_Rate]" caption="Sum of Strike_Rate" measure="1" displayFolder="" measureGroup="fact_player" count="0" oneField="1" hidden="1">
      <fieldsUsage count="1">
        <fieldUsage x="3"/>
      </fieldsUsage>
      <extLst>
        <ext xmlns:x15="http://schemas.microsoft.com/office/spreadsheetml/2010/11/main" uri="{B97F6D7D-B522-45F9-BDA1-12C45D357490}">
          <x15:cacheHierarchy aggregatedColumn="47"/>
        </ext>
      </extLst>
    </cacheHierarchy>
    <cacheHierarchy uniqueName="[Measures].[Sum of Overs_Bowled]" caption="Sum of Overs_Bowled" measure="1" displayFolder="" measureGroup="fact_player" count="0" hidden="1">
      <extLst>
        <ext xmlns:x15="http://schemas.microsoft.com/office/spreadsheetml/2010/11/main" uri="{B97F6D7D-B522-45F9-BDA1-12C45D357490}">
          <x15:cacheHierarchy aggregatedColumn="48"/>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9"/>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50"/>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1"/>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 refreshedDate="46142.429087962963" backgroundQuery="1" createdVersion="3" refreshedVersion="8" minRefreshableVersion="3" recordCount="0" supportSubquery="1" supportAdvancedDrill="1" xr:uid="{834A2F63-D87D-4FC6-B4A8-328D5DADCF98}">
  <cacheSource type="external" connectionId="6">
    <extLst>
      <ext xmlns:x14="http://schemas.microsoft.com/office/spreadsheetml/2009/9/main" uri="{F057638F-6D5F-4e77-A914-E7F072B9BCA8}">
        <x14:sourceConnection name="ThisWorkbookDataModel"/>
      </ext>
    </extLst>
  </cacheSource>
  <cacheFields count="0"/>
  <cacheHierarchies count="78">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130" unbalanced="0"/>
    <cacheHierarchy uniqueName="[fact_match].[Team2_Runs]" caption="Team2_Runs" attribute="1" defaultMemberUniqueName="[fact_match].[Team2_Runs].[All]" allUniqueName="[fact_match].[Team2_Runs].[All]" dimensionUniqueName="[fact_match]" displayFolder="" count="0" memberValueDatatype="130" unbalanced="0"/>
    <cacheHierarchy uniqueName="[fact_match].[Team1_Wickets]" caption="Team1_Wickets" attribute="1" defaultMemberUniqueName="[fact_match].[Team1_Wickets].[All]" allUniqueName="[fact_match].[Team1_Wickets].[All]" dimensionUniqueName="[fact_match]" displayFolder="" count="0" memberValueDatatype="130" unbalanced="0"/>
    <cacheHierarchy uniqueName="[fact_match].[Team2_Wickets]" caption="Team2_Wickets" attribute="1" defaultMemberUniqueName="[fact_match].[Team2_Wickets].[All]" allUniqueName="[fact_match].[Team2_Wickets].[All]" dimensionUniqueName="[fact_match]" displayFolder="" count="0" memberValueDatatype="130" unbalanced="0"/>
    <cacheHierarchy uniqueName="[fact_match].[Overs_Team1]" caption="Overs_Team1" attribute="1" defaultMemberUniqueName="[fact_match].[Overs_Team1].[All]" allUniqueName="[fact_match].[Overs_Team1].[All]" dimensionUniqueName="[fact_match]" displayFolder="" count="0" memberValueDatatype="130" unbalanced="0"/>
    <cacheHierarchy uniqueName="[fact_match].[Overs_Team2]" caption="Overs_Team2" attribute="1" defaultMemberUniqueName="[fact_match].[Overs_Team2].[All]" allUniqueName="[fact_match].[Overs_Team2].[All]" dimensionUniqueName="[fact_match]" displayFolder="" count="0" memberValueDatatype="130" unbalanced="0"/>
    <cacheHierarchy uniqueName="[fact_match].[Total_Runs]" caption="Total_Runs" attribute="1" defaultMemberUniqueName="[fact_match].[Total_Runs].[All]" allUniqueName="[fact_match].[Total_Runs].[All]" dimensionUniqueName="[fact_match]" displayFolder="" count="0" memberValueDatatype="5" unbalanced="0"/>
    <cacheHierarchy uniqueName="[fact_match].[Win_margin]" caption="Win_margin" attribute="1" defaultMemberUniqueName="[fact_match].[Win_margin].[All]" allUniqueName="[fact_match].[Win_margin].[All]" dimensionUniqueName="[fact_match]" displayFolder="" count="0" memberValueDatatype="5"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match].[Add Column2]" caption="Add Column2" attribute="1" defaultMemberUniqueName="[fact_match].[Add Column2].[All]" allUniqueName="[fact_match].[Add Column2].[All]" dimensionUniqueName="[fact_match]" displayFolder="" count="0" memberValueDatatype="2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Runs]" caption="TotalRuns" measure="1" displayFolder="" measureGroup="fact_match" count="0"/>
    <cacheHierarchy uniqueName="[Measures].[Total_Wickets]" caption="Total_Wickets" measure="1" displayFolder="" measureGroup="fact_match" count="0"/>
    <cacheHierarchy uniqueName="[Measures].[Player_Runs]" caption="Player_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Played]" caption="Match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player" count="0" hidden="1">
      <extLst>
        <ext xmlns:x15="http://schemas.microsoft.com/office/spreadsheetml/2010/11/main" uri="{B97F6D7D-B522-45F9-BDA1-12C45D357490}">
          <x15:cacheHierarchy aggregatedColumn="2"/>
        </ext>
      </extLst>
    </cacheHierarchy>
    <cacheHierarchy uniqueName="[Measures].[Count of Team_ID 2]" caption="Count of Team_ID 2" measure="1" displayFolder="" measureGroup="dim_team" count="0" hidden="1">
      <extLst>
        <ext xmlns:x15="http://schemas.microsoft.com/office/spreadsheetml/2010/11/main" uri="{B97F6D7D-B522-45F9-BDA1-12C45D357490}">
          <x15:cacheHierarchy aggregatedColumn="8"/>
        </ext>
      </extLst>
    </cacheHierarchy>
    <cacheHierarchy uniqueName="[Measures].[Count of Runs]" caption="Count of Runs" measure="1" displayFolder="" measureGroup="fact_player" count="0" hidden="1">
      <extLst>
        <ext xmlns:x15="http://schemas.microsoft.com/office/spreadsheetml/2010/11/main" uri="{B97F6D7D-B522-45F9-BDA1-12C45D357490}">
          <x15:cacheHierarchy aggregatedColumn="43"/>
        </ext>
      </extLst>
    </cacheHierarchy>
    <cacheHierarchy uniqueName="[Measures].[Count of Balls_Faced]" caption="Count of Balls_Faced" measure="1" displayFolder="" measureGroup="fact_player" count="0" hidden="1">
      <extLst>
        <ext xmlns:x15="http://schemas.microsoft.com/office/spreadsheetml/2010/11/main" uri="{B97F6D7D-B522-45F9-BDA1-12C45D357490}">
          <x15:cacheHierarchy aggregatedColumn="44"/>
        </ext>
      </extLst>
    </cacheHierarchy>
    <cacheHierarchy uniqueName="[Measures].[Count of Strike_Rate]" caption="Count of Strike_Rate" measure="1" displayFolder="" measureGroup="fact_player" count="0" hidden="1">
      <extLst>
        <ext xmlns:x15="http://schemas.microsoft.com/office/spreadsheetml/2010/11/main" uri="{B97F6D7D-B522-45F9-BDA1-12C45D357490}">
          <x15:cacheHierarchy aggregatedColumn="47"/>
        </ext>
      </extLst>
    </cacheHierarchy>
    <cacheHierarchy uniqueName="[Measures].[Count of Runs_Conceded]" caption="Count of Runs_Conceded" measure="1" displayFolder="" measureGroup="fact_player" count="0" hidden="1">
      <extLst>
        <ext xmlns:x15="http://schemas.microsoft.com/office/spreadsheetml/2010/11/main" uri="{B97F6D7D-B522-45F9-BDA1-12C45D357490}">
          <x15:cacheHierarchy aggregatedColumn="49"/>
        </ext>
      </extLst>
    </cacheHierarchy>
    <cacheHierarchy uniqueName="[Measures].[Count of Wickets]" caption="Count of Wickets" measure="1" displayFolder="" measureGroup="fact_player" count="0" hidden="1">
      <extLst>
        <ext xmlns:x15="http://schemas.microsoft.com/office/spreadsheetml/2010/11/main" uri="{B97F6D7D-B522-45F9-BDA1-12C45D357490}">
          <x15:cacheHierarchy aggregatedColumn="50"/>
        </ext>
      </extLst>
    </cacheHierarchy>
    <cacheHierarchy uniqueName="[Measures].[Count of Player_Name]" caption="Count of Player_Name" measure="1" displayFolder="" measureGroup="dim_player"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205195612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EE9F98-F715-4D05-A0F5-CA5B01BC30F6}" name="PivotTable11" cacheId="667" applyNumberFormats="0" applyBorderFormats="0" applyFontFormats="0" applyPatternFormats="0" applyAlignmentFormats="0" applyWidthHeightFormats="1" dataCaption="Values" tag="d4ab43a8-0275-485a-a2d3-1fa7850023c8" updatedVersion="8" minRefreshableVersion="3" useAutoFormatting="1" subtotalHiddenItems="1" itemPrintTitles="1" createdVersion="8" indent="0" outline="1" outlineData="1" multipleFieldFilters="0" chartFormat="8" rowHeaderCaption="Team Names">
  <location ref="A16:B26"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Total_Wins" fld="1"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85">
    <pivotHierarchy dragToData="1"/>
    <pivotHierarchy multipleItemSelectionAllowed="1" dragToData="1">
      <members count="1" level="1">
        <member name="[dim_player].[Player_Name].&amp;[Abhishek Sharma]"/>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_Ru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_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activeTabTopLevelEntity name="[dim_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0A18F5-0B23-4910-8EED-8E69654C774A}" name="PivotTable7" cacheId="676" applyNumberFormats="0" applyBorderFormats="0" applyFontFormats="0" applyPatternFormats="0" applyAlignmentFormats="0" applyWidthHeightFormats="1" dataCaption="Values" tag="0f504ce2-f5ff-4a00-a1e5-f4c0c0d70eb9" updatedVersion="8" minRefreshableVersion="3" useAutoFormatting="1" subtotalHiddenItems="1" itemPrintTitles="1" createdVersion="8" indent="0" outline="1" outlineData="1" multipleFieldFilters="0" rowHeaderCaption="Team Names ">
  <location ref="A3:D13" firstHeaderRow="0" firstDataRow="1" firstDataCol="1"/>
  <pivotFields count="5">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2"/>
  </colFields>
  <colItems count="3">
    <i>
      <x/>
    </i>
    <i i="1">
      <x v="1"/>
    </i>
    <i i="2">
      <x v="2"/>
    </i>
  </colItems>
  <dataFields count="3">
    <dataField name="Count of Match_ID" fld="1" subtotal="count" baseField="0" baseItem="0"/>
    <dataField name="Total_Wins" fld="2" subtotal="count" baseField="0" baseItem="0"/>
    <dataField name="Total_Runs" fld="3" subtotal="count" baseField="0" baseItem="0"/>
  </dataFields>
  <pivotHierarchies count="85">
    <pivotHierarchy dragToData="1"/>
    <pivotHierarchy multipleItemSelectionAllowed="1" dragToData="1">
      <members count="1" level="1">
        <member name="[dim_player].[Player_Name].&amp;[Abhishek Sharma]"/>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_Ru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_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activeTabTopLevelEntity name="[dim_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E0FA45-21AD-4E8E-8CFF-A972A876DDDE}" name="PivotTable14" cacheId="673" applyNumberFormats="0" applyBorderFormats="0" applyFontFormats="0" applyPatternFormats="0" applyAlignmentFormats="0" applyWidthHeightFormats="1" dataCaption="Values" tag="ad856301-d12b-41d8-9754-cfebc8a7b6bd" updatedVersion="8" minRefreshableVersion="3" useAutoFormatting="1" subtotalHiddenItems="1" itemPrintTitles="1" createdVersion="8" indent="0" outline="1" outlineData="1" multipleFieldFilters="0" chartFormat="12" rowHeaderCaption="Venue Name">
  <location ref="A28:B40" firstHeaderRow="1" firstDataRow="1" firstDataCol="1"/>
  <pivotFields count="4">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Count of Team_ID" fld="1" subtotal="count" baseField="0" baseItem="0"/>
  </dataFields>
  <chartFormats count="3">
    <chartFormat chart="6"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85">
    <pivotHierarchy dragToData="1"/>
    <pivotHierarchy multipleItemSelectionAllowed="1" dragToData="1">
      <members count="1" level="1">
        <member name="[dim_player].[Player_Name].&amp;[Abhishek Sharma]"/>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_Ru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_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activeTabTopLevelEntity name="[dim_player]"/>
        <x15:activeTabTopLevelEntity name="[dim_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3CC68F-488C-41ED-B470-B94807F24DAD}" name="PivotTable13" cacheId="670" applyNumberFormats="0" applyBorderFormats="0" applyFontFormats="0" applyPatternFormats="0" applyAlignmentFormats="0" applyWidthHeightFormats="1" dataCaption="Values" tag="8a3b8d74-7098-4eb6-8045-f8a63cdcaada" updatedVersion="8" minRefreshableVersion="3" useAutoFormatting="1" subtotalHiddenItems="1" itemPrintTitles="1" createdVersion="8" indent="0" outline="1" outlineData="1" multipleFieldFilters="0" chartFormat="18" rowHeaderCaption="Team Names">
  <location ref="M3:N6"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Total_Runs" fld="1" baseField="0" baseItem="0"/>
  </dataFields>
  <chartFormats count="6">
    <chartFormat chart="10"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0" count="1" selected="0">
            <x v="0"/>
          </reference>
        </references>
      </pivotArea>
    </chartFormat>
    <chartFormat chart="17" format="6">
      <pivotArea type="data" outline="0" fieldPosition="0">
        <references count="2">
          <reference field="4294967294" count="1" selected="0">
            <x v="0"/>
          </reference>
          <reference field="0" count="1" selected="0">
            <x v="1"/>
          </reference>
        </references>
      </pivotArea>
    </chartFormat>
    <chartFormat chart="10" format="1">
      <pivotArea type="data" outline="0" fieldPosition="0">
        <references count="2">
          <reference field="4294967294" count="1" selected="0">
            <x v="0"/>
          </reference>
          <reference field="0" count="1" selected="0">
            <x v="0"/>
          </reference>
        </references>
      </pivotArea>
    </chartFormat>
    <chartFormat chart="10" format="2">
      <pivotArea type="data" outline="0" fieldPosition="0">
        <references count="2">
          <reference field="4294967294" count="1" selected="0">
            <x v="0"/>
          </reference>
          <reference field="0" count="1" selected="0">
            <x v="1"/>
          </reference>
        </references>
      </pivotArea>
    </chartFormat>
  </chartFormats>
  <pivotHierarchies count="85">
    <pivotHierarchy dragToData="1"/>
    <pivotHierarchy multipleItemSelectionAllowed="1" dragToData="1">
      <members count="1" level="1">
        <member name="[dim_player].[Player_Name].&amp;[Abhishek Sharma]"/>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_Ru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_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_Ru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0ABE2E-DC6C-4B95-B4F9-769F7CB5C560}" name="PivotTable12" cacheId="664" applyNumberFormats="0" applyBorderFormats="0" applyFontFormats="0" applyPatternFormats="0" applyAlignmentFormats="0" applyWidthHeightFormats="1" dataCaption="Values" tag="c25b1eb7-00de-41c4-a354-c713f71c81da" updatedVersion="8" minRefreshableVersion="3" useAutoFormatting="1" subtotalHiddenItems="1" itemPrintTitles="1" createdVersion="8" indent="0" outline="1" outlineData="1" multipleFieldFilters="0" chartFormat="19" rowHeaderCaption="Team Names">
  <location ref="H3:I1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Total_Runs" fld="1" baseField="0" baseItem="0"/>
  </dataFields>
  <chartFormats count="2">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85">
    <pivotHierarchy dragToData="1"/>
    <pivotHierarchy multipleItemSelectionAllowed="1" dragToData="1">
      <members count="1" level="1">
        <member name="[dim_player].[Player_Name].&amp;[Abhishek Sharma]"/>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_Ru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_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_Ru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activeTabTopLevelEntity name="[dim_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E88DDA-B88F-4EB5-AAC5-AFC2E78A5102}" name="PivotTable6" cacheId="827" applyNumberFormats="0" applyBorderFormats="0" applyFontFormats="0" applyPatternFormats="0" applyAlignmentFormats="0" applyWidthHeightFormats="1" dataCaption="Values" tag="0f504ce2-f5ff-4a00-a1e5-f4c0c0d70eb9" updatedVersion="8" minRefreshableVersion="3" useAutoFormatting="1" subtotalHiddenItems="1" itemPrintTitles="1" createdVersion="8" indent="0" outline="1" outlineData="1" multipleFieldFilters="0" chartFormat="3" rowHeaderCaption="Team Names ">
  <location ref="V3:X37" firstHeaderRow="0" firstDataRow="1" firstDataCol="1"/>
  <pivotFields count="5">
    <pivotField axis="axisRow" allDrilled="1" subtotalTop="0" showAll="0" dataSourceSort="1" defaultSubtotal="0" defaultAttributeDrillState="1">
      <items count="33">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s>
  <rowFields count="3">
    <field x="0"/>
    <field x="1"/>
    <field x="2"/>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2"/>
  </colFields>
  <colItems count="2">
    <i>
      <x/>
    </i>
    <i i="1">
      <x v="1"/>
    </i>
  </colItems>
  <dataFields count="2">
    <dataField name="Strike_Rate" fld="3" baseField="0" baseItem="0"/>
    <dataField fld="4"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8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_Ru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_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uns"/>
    <pivotHierarchy dragToData="1" caption=" Balls_Faced"/>
    <pivotHierarchy dragToData="1" caption="Strike_Rate"/>
    <pivotHierarchy dragToData="1" caption="Overs_Bowled"/>
    <pivotHierarchy dragToData="1" caption="Runs_Conceded"/>
    <pivotHierarchy dragToData="1" caption="Total  Wickets"/>
    <pivotHierarchy dragToData="1" caption=" Economy"/>
  </pivotHierarchies>
  <pivotTableStyleInfo name="PivotStyleLight16" showRowHeaders="1" showColHeaders="1" showRowStripes="0" showColStripes="0" showLastColumn="1"/>
  <rowHierarchiesUsage count="3">
    <rowHierarchyUsage hierarchyUsage="1"/>
    <rowHierarchyUsage hierarchyUsage="3"/>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activeTabTopLevelEntity name="[dim_venue]"/>
        <x15:activeTabTopLevelEntity name="[dim_player]"/>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F766AE-4E27-4672-A74D-FA830E41F08E}" name="PivotTable5" cacheId="805" applyNumberFormats="0" applyBorderFormats="0" applyFontFormats="0" applyPatternFormats="0" applyAlignmentFormats="0" applyWidthHeightFormats="1" dataCaption="Values" tag="0f504ce2-f5ff-4a00-a1e5-f4c0c0d70eb9" updatedVersion="8" minRefreshableVersion="3" useAutoFormatting="1" subtotalHiddenItems="1" itemPrintTitles="1" createdVersion="8" indent="0" outline="1" outlineData="1" multipleFieldFilters="0" chartFormat="3" rowHeaderCaption="Team Names ">
  <location ref="O41:P75" firstHeaderRow="1" firstDataRow="1" firstDataCol="1"/>
  <pivotFields count="4">
    <pivotField axis="axisRow" allDrilled="1" subtotalTop="0" showAll="0" dataSourceSort="1" defaultSubtotal="0" defaultAttributeDrillState="1">
      <items count="33">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3">
    <field x="0"/>
    <field x="1"/>
    <field x="2"/>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 Economy" fld="3" baseField="0" baseItem="0"/>
  </dataFields>
  <chartFormats count="35">
    <chartFormat chart="0" format="0" series="1">
      <pivotArea type="data" outline="0" fieldPosition="0">
        <references count="1">
          <reference field="4294967294" count="1" selected="0">
            <x v="0"/>
          </reference>
        </references>
      </pivotArea>
    </chartFormat>
    <chartFormat chart="2" format="35" series="1">
      <pivotArea type="data" outline="0" fieldPosition="0">
        <references count="1">
          <reference field="4294967294" count="1" selected="0">
            <x v="0"/>
          </reference>
        </references>
      </pivotArea>
    </chartFormat>
    <chartFormat chart="2" format="36">
      <pivotArea type="data" outline="0" fieldPosition="0">
        <references count="2">
          <reference field="4294967294" count="1" selected="0">
            <x v="0"/>
          </reference>
          <reference field="0" count="1" selected="0">
            <x v="0"/>
          </reference>
        </references>
      </pivotArea>
    </chartFormat>
    <chartFormat chart="2" format="37">
      <pivotArea type="data" outline="0" fieldPosition="0">
        <references count="2">
          <reference field="4294967294" count="1" selected="0">
            <x v="0"/>
          </reference>
          <reference field="0" count="1" selected="0">
            <x v="1"/>
          </reference>
        </references>
      </pivotArea>
    </chartFormat>
    <chartFormat chart="2" format="38">
      <pivotArea type="data" outline="0" fieldPosition="0">
        <references count="2">
          <reference field="4294967294" count="1" selected="0">
            <x v="0"/>
          </reference>
          <reference field="0" count="1" selected="0">
            <x v="2"/>
          </reference>
        </references>
      </pivotArea>
    </chartFormat>
    <chartFormat chart="2" format="39">
      <pivotArea type="data" outline="0" fieldPosition="0">
        <references count="2">
          <reference field="4294967294" count="1" selected="0">
            <x v="0"/>
          </reference>
          <reference field="0" count="1" selected="0">
            <x v="3"/>
          </reference>
        </references>
      </pivotArea>
    </chartFormat>
    <chartFormat chart="2" format="40">
      <pivotArea type="data" outline="0" fieldPosition="0">
        <references count="2">
          <reference field="4294967294" count="1" selected="0">
            <x v="0"/>
          </reference>
          <reference field="0" count="1" selected="0">
            <x v="4"/>
          </reference>
        </references>
      </pivotArea>
    </chartFormat>
    <chartFormat chart="2" format="41">
      <pivotArea type="data" outline="0" fieldPosition="0">
        <references count="2">
          <reference field="4294967294" count="1" selected="0">
            <x v="0"/>
          </reference>
          <reference field="0" count="1" selected="0">
            <x v="5"/>
          </reference>
        </references>
      </pivotArea>
    </chartFormat>
    <chartFormat chart="2" format="42">
      <pivotArea type="data" outline="0" fieldPosition="0">
        <references count="2">
          <reference field="4294967294" count="1" selected="0">
            <x v="0"/>
          </reference>
          <reference field="0" count="1" selected="0">
            <x v="6"/>
          </reference>
        </references>
      </pivotArea>
    </chartFormat>
    <chartFormat chart="2" format="43">
      <pivotArea type="data" outline="0" fieldPosition="0">
        <references count="2">
          <reference field="4294967294" count="1" selected="0">
            <x v="0"/>
          </reference>
          <reference field="0" count="1" selected="0">
            <x v="7"/>
          </reference>
        </references>
      </pivotArea>
    </chartFormat>
    <chartFormat chart="2" format="44">
      <pivotArea type="data" outline="0" fieldPosition="0">
        <references count="2">
          <reference field="4294967294" count="1" selected="0">
            <x v="0"/>
          </reference>
          <reference field="0" count="1" selected="0">
            <x v="8"/>
          </reference>
        </references>
      </pivotArea>
    </chartFormat>
    <chartFormat chart="2" format="45">
      <pivotArea type="data" outline="0" fieldPosition="0">
        <references count="2">
          <reference field="4294967294" count="1" selected="0">
            <x v="0"/>
          </reference>
          <reference field="0" count="1" selected="0">
            <x v="9"/>
          </reference>
        </references>
      </pivotArea>
    </chartFormat>
    <chartFormat chart="2" format="46">
      <pivotArea type="data" outline="0" fieldPosition="0">
        <references count="2">
          <reference field="4294967294" count="1" selected="0">
            <x v="0"/>
          </reference>
          <reference field="0" count="1" selected="0">
            <x v="10"/>
          </reference>
        </references>
      </pivotArea>
    </chartFormat>
    <chartFormat chart="2" format="47">
      <pivotArea type="data" outline="0" fieldPosition="0">
        <references count="2">
          <reference field="4294967294" count="1" selected="0">
            <x v="0"/>
          </reference>
          <reference field="0" count="1" selected="0">
            <x v="11"/>
          </reference>
        </references>
      </pivotArea>
    </chartFormat>
    <chartFormat chart="2" format="48">
      <pivotArea type="data" outline="0" fieldPosition="0">
        <references count="2">
          <reference field="4294967294" count="1" selected="0">
            <x v="0"/>
          </reference>
          <reference field="0" count="1" selected="0">
            <x v="12"/>
          </reference>
        </references>
      </pivotArea>
    </chartFormat>
    <chartFormat chart="2" format="49">
      <pivotArea type="data" outline="0" fieldPosition="0">
        <references count="2">
          <reference field="4294967294" count="1" selected="0">
            <x v="0"/>
          </reference>
          <reference field="0" count="1" selected="0">
            <x v="13"/>
          </reference>
        </references>
      </pivotArea>
    </chartFormat>
    <chartFormat chart="2" format="50">
      <pivotArea type="data" outline="0" fieldPosition="0">
        <references count="2">
          <reference field="4294967294" count="1" selected="0">
            <x v="0"/>
          </reference>
          <reference field="0" count="1" selected="0">
            <x v="14"/>
          </reference>
        </references>
      </pivotArea>
    </chartFormat>
    <chartFormat chart="2" format="51">
      <pivotArea type="data" outline="0" fieldPosition="0">
        <references count="2">
          <reference field="4294967294" count="1" selected="0">
            <x v="0"/>
          </reference>
          <reference field="0" count="1" selected="0">
            <x v="15"/>
          </reference>
        </references>
      </pivotArea>
    </chartFormat>
    <chartFormat chart="2" format="52">
      <pivotArea type="data" outline="0" fieldPosition="0">
        <references count="2">
          <reference field="4294967294" count="1" selected="0">
            <x v="0"/>
          </reference>
          <reference field="0" count="1" selected="0">
            <x v="16"/>
          </reference>
        </references>
      </pivotArea>
    </chartFormat>
    <chartFormat chart="2" format="53">
      <pivotArea type="data" outline="0" fieldPosition="0">
        <references count="2">
          <reference field="4294967294" count="1" selected="0">
            <x v="0"/>
          </reference>
          <reference field="0" count="1" selected="0">
            <x v="17"/>
          </reference>
        </references>
      </pivotArea>
    </chartFormat>
    <chartFormat chart="2" format="54">
      <pivotArea type="data" outline="0" fieldPosition="0">
        <references count="2">
          <reference field="4294967294" count="1" selected="0">
            <x v="0"/>
          </reference>
          <reference field="0" count="1" selected="0">
            <x v="18"/>
          </reference>
        </references>
      </pivotArea>
    </chartFormat>
    <chartFormat chart="2" format="55">
      <pivotArea type="data" outline="0" fieldPosition="0">
        <references count="2">
          <reference field="4294967294" count="1" selected="0">
            <x v="0"/>
          </reference>
          <reference field="0" count="1" selected="0">
            <x v="19"/>
          </reference>
        </references>
      </pivotArea>
    </chartFormat>
    <chartFormat chart="2" format="56">
      <pivotArea type="data" outline="0" fieldPosition="0">
        <references count="2">
          <reference field="4294967294" count="1" selected="0">
            <x v="0"/>
          </reference>
          <reference field="0" count="1" selected="0">
            <x v="20"/>
          </reference>
        </references>
      </pivotArea>
    </chartFormat>
    <chartFormat chart="2" format="57">
      <pivotArea type="data" outline="0" fieldPosition="0">
        <references count="2">
          <reference field="4294967294" count="1" selected="0">
            <x v="0"/>
          </reference>
          <reference field="0" count="1" selected="0">
            <x v="21"/>
          </reference>
        </references>
      </pivotArea>
    </chartFormat>
    <chartFormat chart="2" format="58">
      <pivotArea type="data" outline="0" fieldPosition="0">
        <references count="2">
          <reference field="4294967294" count="1" selected="0">
            <x v="0"/>
          </reference>
          <reference field="0" count="1" selected="0">
            <x v="22"/>
          </reference>
        </references>
      </pivotArea>
    </chartFormat>
    <chartFormat chart="2" format="59">
      <pivotArea type="data" outline="0" fieldPosition="0">
        <references count="2">
          <reference field="4294967294" count="1" selected="0">
            <x v="0"/>
          </reference>
          <reference field="0" count="1" selected="0">
            <x v="23"/>
          </reference>
        </references>
      </pivotArea>
    </chartFormat>
    <chartFormat chart="2" format="60">
      <pivotArea type="data" outline="0" fieldPosition="0">
        <references count="2">
          <reference field="4294967294" count="1" selected="0">
            <x v="0"/>
          </reference>
          <reference field="0" count="1" selected="0">
            <x v="24"/>
          </reference>
        </references>
      </pivotArea>
    </chartFormat>
    <chartFormat chart="2" format="61">
      <pivotArea type="data" outline="0" fieldPosition="0">
        <references count="2">
          <reference field="4294967294" count="1" selected="0">
            <x v="0"/>
          </reference>
          <reference field="0" count="1" selected="0">
            <x v="25"/>
          </reference>
        </references>
      </pivotArea>
    </chartFormat>
    <chartFormat chart="2" format="62">
      <pivotArea type="data" outline="0" fieldPosition="0">
        <references count="2">
          <reference field="4294967294" count="1" selected="0">
            <x v="0"/>
          </reference>
          <reference field="0" count="1" selected="0">
            <x v="26"/>
          </reference>
        </references>
      </pivotArea>
    </chartFormat>
    <chartFormat chart="2" format="63">
      <pivotArea type="data" outline="0" fieldPosition="0">
        <references count="2">
          <reference field="4294967294" count="1" selected="0">
            <x v="0"/>
          </reference>
          <reference field="0" count="1" selected="0">
            <x v="27"/>
          </reference>
        </references>
      </pivotArea>
    </chartFormat>
    <chartFormat chart="2" format="64">
      <pivotArea type="data" outline="0" fieldPosition="0">
        <references count="2">
          <reference field="4294967294" count="1" selected="0">
            <x v="0"/>
          </reference>
          <reference field="0" count="1" selected="0">
            <x v="28"/>
          </reference>
        </references>
      </pivotArea>
    </chartFormat>
    <chartFormat chart="2" format="65">
      <pivotArea type="data" outline="0" fieldPosition="0">
        <references count="2">
          <reference field="4294967294" count="1" selected="0">
            <x v="0"/>
          </reference>
          <reference field="0" count="1" selected="0">
            <x v="29"/>
          </reference>
        </references>
      </pivotArea>
    </chartFormat>
    <chartFormat chart="2" format="66">
      <pivotArea type="data" outline="0" fieldPosition="0">
        <references count="2">
          <reference field="4294967294" count="1" selected="0">
            <x v="0"/>
          </reference>
          <reference field="0" count="1" selected="0">
            <x v="30"/>
          </reference>
        </references>
      </pivotArea>
    </chartFormat>
    <chartFormat chart="2" format="67">
      <pivotArea type="data" outline="0" fieldPosition="0">
        <references count="2">
          <reference field="4294967294" count="1" selected="0">
            <x v="0"/>
          </reference>
          <reference field="0" count="1" selected="0">
            <x v="31"/>
          </reference>
        </references>
      </pivotArea>
    </chartFormat>
    <chartFormat chart="2" format="68">
      <pivotArea type="data" outline="0" fieldPosition="0">
        <references count="2">
          <reference field="4294967294" count="1" selected="0">
            <x v="0"/>
          </reference>
          <reference field="0" count="1" selected="0">
            <x v="32"/>
          </reference>
        </references>
      </pivotArea>
    </chartFormat>
  </chartFormats>
  <pivotHierarchies count="8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_Ru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_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uns"/>
    <pivotHierarchy dragToData="1" caption=" Balls_Faced"/>
    <pivotHierarchy dragToData="1" caption="Strike_Rate"/>
    <pivotHierarchy dragToData="1" caption="Overs_Bowled"/>
    <pivotHierarchy dragToData="1" caption="Runs_Conceded"/>
    <pivotHierarchy dragToData="1" caption="Total  Wickets"/>
    <pivotHierarchy dragToData="1" caption=" Economy"/>
  </pivotHierarchies>
  <pivotTableStyleInfo name="PivotStyleLight16" showRowHeaders="1" showColHeaders="1" showRowStripes="0" showColStripes="0" showLastColumn="1"/>
  <rowHierarchiesUsage count="3">
    <rowHierarchyUsage hierarchyUsage="1"/>
    <rowHierarchyUsage hierarchyUsage="3"/>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activeTabTopLevelEntity name="[dim_venue]"/>
        <x15:activeTabTopLevelEntity name="[dim_player]"/>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56F155-8541-463C-BA32-34BCC924F559}" name="PivotTable4" cacheId="786" applyNumberFormats="0" applyBorderFormats="0" applyFontFormats="0" applyPatternFormats="0" applyAlignmentFormats="0" applyWidthHeightFormats="1" dataCaption="Values" tag="0f504ce2-f5ff-4a00-a1e5-f4c0c0d70eb9" updatedVersion="8" minRefreshableVersion="3" useAutoFormatting="1" subtotalHiddenItems="1" itemPrintTitles="1" createdVersion="8" indent="0" outline="1" outlineData="1" multipleFieldFilters="0" chartFormat="6" rowHeaderCaption="Team Names ">
  <location ref="A41:B75" firstHeaderRow="1" firstDataRow="1" firstDataCol="1"/>
  <pivotFields count="4">
    <pivotField axis="axisRow" allDrilled="1" subtotalTop="0" showAll="0" dataSourceSort="1" defaultSubtotal="0" defaultAttributeDrillState="1">
      <items count="33">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3">
    <field x="0"/>
    <field x="1"/>
    <field x="2"/>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Total  Wickets" fld="3"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8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_Ru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_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uns"/>
    <pivotHierarchy dragToData="1" caption=" Balls_Faced"/>
    <pivotHierarchy dragToData="1" caption="Strike_Rate"/>
    <pivotHierarchy dragToData="1" caption="Overs_Bowled"/>
    <pivotHierarchy dragToData="1" caption="Runs_Conceded"/>
    <pivotHierarchy dragToData="1" caption="Total  Wickets"/>
    <pivotHierarchy dragToData="1" caption=" Economy"/>
  </pivotHierarchies>
  <pivotTableStyleInfo name="PivotStyleLight16" showRowHeaders="1" showColHeaders="1" showRowStripes="0" showColStripes="0" showLastColumn="1"/>
  <rowHierarchiesUsage count="3">
    <rowHierarchyUsage hierarchyUsage="1"/>
    <rowHierarchyUsage hierarchyUsage="3"/>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activeTabTopLevelEntity name="[dim_venue]"/>
        <x15:activeTabTopLevelEntity name="[dim_player]"/>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C4B008-B53E-4C9E-A3D8-1FCA90AAD714}" name="PivotTable1" cacheId="763" applyNumberFormats="0" applyBorderFormats="0" applyFontFormats="0" applyPatternFormats="0" applyAlignmentFormats="0" applyWidthHeightFormats="1" dataCaption="Values" tag="0f504ce2-f5ff-4a00-a1e5-f4c0c0d70eb9" updatedVersion="8" minRefreshableVersion="3" useAutoFormatting="1" subtotalHiddenItems="1" itemPrintTitles="1" createdVersion="8" indent="0" outline="1" outlineData="1" multipleFieldFilters="0" rowHeaderCaption="Team Names ">
  <location ref="A3:H37" firstHeaderRow="0" firstDataRow="1" firstDataCol="1"/>
  <pivotFields count="10">
    <pivotField axis="axisRow" allDrilled="1" subtotalTop="0" showAll="0" dataSourceSort="1" defaultSubtotal="0" defaultAttributeDrillState="1">
      <items count="33">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3">
    <field x="0"/>
    <field x="1"/>
    <field x="2"/>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2"/>
  </colFields>
  <colItems count="7">
    <i>
      <x/>
    </i>
    <i i="1">
      <x v="1"/>
    </i>
    <i i="2">
      <x v="2"/>
    </i>
    <i i="3">
      <x v="3"/>
    </i>
    <i i="4">
      <x v="4"/>
    </i>
    <i i="5">
      <x v="5"/>
    </i>
    <i i="6">
      <x v="6"/>
    </i>
  </colItems>
  <dataFields count="7">
    <dataField name="Total Runs" fld="3" baseField="0" baseItem="0"/>
    <dataField name=" Balls_Faced" fld="4" baseField="0" baseItem="0"/>
    <dataField name="Strike_Rate" fld="5" baseField="0" baseItem="0"/>
    <dataField name="Overs_Bowled" fld="6" baseField="0" baseItem="0"/>
    <dataField name="Runs_Conceded" fld="7" baseField="0" baseItem="0"/>
    <dataField name="Total  Wickets" fld="8" baseField="0" baseItem="0"/>
    <dataField name=" Economy" fld="9" baseField="0" baseItem="0"/>
  </dataFields>
  <pivotHierarchies count="8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_Ru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_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uns"/>
    <pivotHierarchy dragToData="1" caption=" Balls_Faced"/>
    <pivotHierarchy dragToData="1" caption="Strike_Rate"/>
    <pivotHierarchy dragToData="1" caption="Overs_Bowled"/>
    <pivotHierarchy dragToData="1" caption="Runs_Conceded"/>
    <pivotHierarchy dragToData="1" caption="Total  Wickets"/>
    <pivotHierarchy dragToData="1" caption=" Economy"/>
  </pivotHierarchies>
  <pivotTableStyleInfo name="PivotStyleLight16" showRowHeaders="1" showColHeaders="1" showRowStripes="0" showColStripes="0" showLastColumn="1"/>
  <rowHierarchiesUsage count="3">
    <rowHierarchyUsage hierarchyUsage="1"/>
    <rowHierarchyUsage hierarchyUsage="3"/>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activeTabTopLevelEntity name="[dim_venue]"/>
        <x15:activeTabTopLevelEntity name="[dim_player]"/>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4E1E7569-A84A-4A06-8EA1-12A20BCA48F0}" autoFormatId="16" applyNumberFormats="0" applyBorderFormats="0" applyFontFormats="0" applyPatternFormats="0" applyAlignmentFormats="0" applyWidthHeightFormats="0">
  <queryTableRefresh nextId="12">
    <queryTableFields count="11">
      <queryTableField id="1" name="Match_ID" tableColumnId="1"/>
      <queryTableField id="2" name="Player_ID" tableColumnId="2"/>
      <queryTableField id="3" name="Runs" tableColumnId="3"/>
      <queryTableField id="4" name="Balls_Faced" tableColumnId="4"/>
      <queryTableField id="5" name="Fours" tableColumnId="5"/>
      <queryTableField id="6" name="Sixes" tableColumnId="6"/>
      <queryTableField id="7" name="Strike_Rate" tableColumnId="7"/>
      <queryTableField id="8" name="Overs_Bowled" tableColumnId="8"/>
      <queryTableField id="9" name="Runs_Conceded" tableColumnId="9"/>
      <queryTableField id="10" name="Wickets" tableColumnId="10"/>
      <queryTableField id="11" name="Economy"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C85A369E-E7BD-410C-BCBA-C8F86D5BF959}" autoFormatId="16" applyNumberFormats="0" applyBorderFormats="0" applyFontFormats="0" applyPatternFormats="0" applyAlignmentFormats="0" applyWidthHeightFormats="0">
  <queryTableRefresh nextId="15">
    <queryTableFields count="14">
      <queryTableField id="1" name="Match_ID" tableColumnId="1"/>
      <queryTableField id="2" name="Date" tableColumnId="2"/>
      <queryTableField id="3" name="Venue_ID" tableColumnId="3"/>
      <queryTableField id="4" name="Team1_ID" tableColumnId="4"/>
      <queryTableField id="5" name="Team2_ID" tableColumnId="5"/>
      <queryTableField id="6" name="Toss_Winner" tableColumnId="6"/>
      <queryTableField id="7" name="Match_Winner" tableColumnId="7"/>
      <queryTableField id="8" name="Man_of_Match" tableColumnId="8"/>
      <queryTableField id="9" name="Team1_Runs" tableColumnId="9"/>
      <queryTableField id="10" name="Team2_Runs" tableColumnId="10"/>
      <queryTableField id="11" name="Team1_Wickets" tableColumnId="11"/>
      <queryTableField id="12" name="Team2_Wickets" tableColumnId="12"/>
      <queryTableField id="13" name="Overs_Team1" tableColumnId="13"/>
      <queryTableField id="14" name="Overs_Team2"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1CA62E2D-C1F5-4D56-9065-98BA48C71424}" autoFormatId="16" applyNumberFormats="0" applyBorderFormats="0" applyFontFormats="0" applyPatternFormats="0" applyAlignmentFormats="0" applyWidthHeightFormats="0">
  <queryTableRefresh nextId="5">
    <queryTableFields count="4">
      <queryTableField id="1" name="Venue_ID" tableColumnId="1"/>
      <queryTableField id="2" name="Venue_Name" tableColumnId="2"/>
      <queryTableField id="3" name="City" tableColumnId="3"/>
      <queryTableField id="4" name="Capacity"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90A566EB-3E74-4BED-ACD3-B3CF3F12005F}" autoFormatId="16" applyNumberFormats="0" applyBorderFormats="0" applyFontFormats="0" applyPatternFormats="0" applyAlignmentFormats="0" applyWidthHeightFormats="0">
  <queryTableRefresh nextId="8">
    <queryTableFields count="7">
      <queryTableField id="1" name="Team_ID" tableColumnId="1"/>
      <queryTableField id="2" name="Team_Name" tableColumnId="2"/>
      <queryTableField id="3" name="Captain" tableColumnId="3"/>
      <queryTableField id="4" name="Coach" tableColumnId="4"/>
      <queryTableField id="5" name="Home_Ground" tableColumnId="5"/>
      <queryTableField id="6" name="City" tableColumnId="6"/>
      <queryTableField id="7" name="Owner"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0D5A4485-B6E8-4612-A954-309757512F31}" autoFormatId="16" applyNumberFormats="0" applyBorderFormats="0" applyFontFormats="0" applyPatternFormats="0" applyAlignmentFormats="0" applyWidthHeightFormats="0">
  <queryTableRefresh nextId="9">
    <queryTableFields count="8">
      <queryTableField id="1" name="Player_ID" tableColumnId="1"/>
      <queryTableField id="2" name="Player_Name" tableColumnId="2"/>
      <queryTableField id="3" name="Team_ID" tableColumnId="3"/>
      <queryTableField id="4" name="Role" tableColumnId="4"/>
      <queryTableField id="5" name="Nationality" tableColumnId="5"/>
      <queryTableField id="6" name="Age" tableColumnId="6"/>
      <queryTableField id="7" name="Batting_Style" tableColumnId="7"/>
      <queryTableField id="8" name="Bowling_Styl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Name" xr10:uid="{D9D3CA4F-FDA4-402C-BA2F-283998368AD2}" sourceName="[dim_team].[Team_Name]">
  <pivotTables>
    <pivotTable tabId="13" name="PivotTable12"/>
    <pivotTable tabId="13" name="PivotTable11"/>
    <pivotTable tabId="13" name="PivotTable13"/>
    <pivotTable tabId="13" name="PivotTable14"/>
    <pivotTable tabId="13" name="PivotTable7"/>
    <pivotTable tabId="27" name="PivotTable1"/>
    <pivotTable tabId="27" name="PivotTable4"/>
    <pivotTable tabId="27" name="PivotTable5"/>
    <pivotTable tabId="27" name="PivotTable6"/>
  </pivotTables>
  <data>
    <olap pivotCacheId="2051956123">
      <levels count="2">
        <level uniqueName="[dim_team].[Team_Name].[(All)]" sourceCaption="(All)" count="0"/>
        <level uniqueName="[dim_team].[Team_Name].[Team_Name]" sourceCaption="Team_Name" count="9">
          <ranges>
            <range startItem="0">
              <i n="[dim_team].[Team_Name].&amp;[Chennai Super Kings (CSK)]" c="Chennai Super Kings (CSK)"/>
              <i n="[dim_team].[Team_Name].&amp;[Delhi Capitals (DC)]" c="Delhi Capitals (DC)"/>
              <i n="[dim_team].[Team_Name].&amp;[Kolkata Knight Riders (KKR)]" c="Kolkata Knight Riders (KKR)"/>
              <i n="[dim_team].[Team_Name].&amp;[Mumbai Indians (MI)]" c="Mumbai Indians (MI)"/>
              <i n="[dim_team].[Team_Name].&amp;[Punjab Kings (PBKS)]" c="Punjab Kings (PBKS)"/>
              <i n="[dim_team].[Team_Name].&amp;[Rajasthan Royals (RR)]" c="Rajasthan Royals (RR)"/>
              <i n="[dim_team].[Team_Name].&amp;[Royal Challengers Bengaluru (RCB)]" c="Royal Challengers Bengaluru (RCB)"/>
              <i n="[dim_team].[Team_Name].&amp;[Sunrisers Hyderabad (SRH)]" c="Sunrisers Hyderabad (SRH)"/>
              <i n="[dim_team].[Team_Name].&amp;" c="(blank)"/>
            </range>
          </ranges>
        </level>
      </levels>
      <selections count="1">
        <selection n="[dim_team].[Team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_Name" xr10:uid="{F61B4FDB-533E-46C2-8ACC-900D81D66852}" sourceName="[dim_venue].[Venue_Name]">
  <pivotTables>
    <pivotTable tabId="13" name="PivotTable14"/>
    <pivotTable tabId="13" name="PivotTable11"/>
    <pivotTable tabId="13" name="PivotTable12"/>
    <pivotTable tabId="13" name="PivotTable13"/>
    <pivotTable tabId="13" name="PivotTable7"/>
    <pivotTable tabId="27" name="PivotTable1"/>
    <pivotTable tabId="27" name="PivotTable4"/>
    <pivotTable tabId="27" name="PivotTable5"/>
    <pivotTable tabId="27" name="PivotTable6"/>
  </pivotTables>
  <data>
    <olap pivotCacheId="2051956123">
      <levels count="2">
        <level uniqueName="[dim_venue].[Venue_Name].[(All)]" sourceCaption="(All)" count="0"/>
        <level uniqueName="[dim_venue].[Venue_Name].[Venue_Name]" sourceCaption="Venue_Name" count="11">
          <ranges>
            <range startItem="0">
              <i n="[dim_venue].[Venue_Name].&amp;[Arun Jaitley Stadium]" c="Arun Jaitley Stadium"/>
              <i n="[dim_venue].[Venue_Name].&amp;[Bharat Ratna Shri Atal Bihari Vajpayee Ekana Cricket Stadium]" c="Bharat Ratna Shri Atal Bihari Vajpayee Ekana Cricket Stadium"/>
              <i n="[dim_venue].[Venue_Name].&amp;[Eden Gardens]" c="Eden Gardens"/>
              <i n="[dim_venue].[Venue_Name].&amp;[M. A. Chidambaram Stadium]" c="M. A. Chidambaram Stadium"/>
              <i n="[dim_venue].[Venue_Name].&amp;[M. Chinnaswamy Stadium]" c="M. Chinnaswamy Stadium"/>
              <i n="[dim_venue].[Venue_Name].&amp;[Maharaja Yadavindra Singh Int. Cricket Stadium]" c="Maharaja Yadavindra Singh Int. Cricket Stadium"/>
              <i n="[dim_venue].[Venue_Name].&amp;[Narendra Modi Stadium]" c="Narendra Modi Stadium"/>
              <i n="[dim_venue].[Venue_Name].&amp;[Rajiv Gandhi Int. Stadium]" c="Rajiv Gandhi Int. Stadium"/>
              <i n="[dim_venue].[Venue_Name].&amp;[Sawai Mansingh Stadium]" c="Sawai Mansingh Stadium"/>
              <i n="[dim_venue].[Venue_Name].&amp;[Wankhede Stadium]" c="Wankhede Stadium"/>
              <i n="[dim_venue].[Venue_Name].&amp;" c="(blank)"/>
            </range>
          </ranges>
        </level>
      </levels>
      <selections count="1">
        <selection n="[dim_venue].[Venue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_Name" xr10:uid="{0647C4AD-0407-4F5B-BE2E-DD8D37C356D3}" cache="Slicer_Team_Name" caption="Team_Name" level="1" rowHeight="241300"/>
  <slicer name="Venue_Name" xr10:uid="{ACB7ED7F-09A2-4F0E-AE1D-FECAD7CADD4B}" cache="Slicer_Venue_Name" caption="Venue_Name"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2C3F387-6669-4B7D-AA95-D58078B96C48}" name="fact_player" displayName="fact_player" ref="A1:K202" tableType="queryTable" totalsRowShown="0">
  <autoFilter ref="A1:K202" xr:uid="{B2C3F387-6669-4B7D-AA95-D58078B96C48}"/>
  <tableColumns count="11">
    <tableColumn id="1" xr3:uid="{5904CD5C-07DD-4D14-B9D2-603B7F0B4EDC}" uniqueName="1" name="Match_ID" queryTableFieldId="1" dataDxfId="43"/>
    <tableColumn id="2" xr3:uid="{7754E5CF-5298-42E1-A7AF-C8EB0D2B7368}" uniqueName="2" name="Player_ID" queryTableFieldId="2" dataDxfId="42"/>
    <tableColumn id="3" xr3:uid="{E78CAF55-C9C0-482A-BB34-91212A6AE6C9}" uniqueName="3" name="Runs" queryTableFieldId="3" dataDxfId="41"/>
    <tableColumn id="4" xr3:uid="{A5620DC3-9A5B-4851-B372-F503E0A33243}" uniqueName="4" name="Balls_Faced" queryTableFieldId="4" dataDxfId="40"/>
    <tableColumn id="5" xr3:uid="{F5EAC8E1-A2C7-4F8E-BA2A-2540D6EF25ED}" uniqueName="5" name="Fours" queryTableFieldId="5" dataDxfId="39"/>
    <tableColumn id="6" xr3:uid="{BADC7E92-97F9-4F83-A6DD-E62836FBFEB6}" uniqueName="6" name="Sixes" queryTableFieldId="6" dataDxfId="38"/>
    <tableColumn id="7" xr3:uid="{0876DCCE-D730-43E8-96AA-07FFCB7F62D1}" uniqueName="7" name="Strike_Rate" queryTableFieldId="7" dataDxfId="37"/>
    <tableColumn id="8" xr3:uid="{9D696409-1E76-4843-8725-B0EA267ED6F0}" uniqueName="8" name="Overs_Bowled" queryTableFieldId="8" dataDxfId="36"/>
    <tableColumn id="9" xr3:uid="{909C7CA6-834C-40F0-B452-89476CC3527B}" uniqueName="9" name="Runs_Conceded" queryTableFieldId="9" dataDxfId="35"/>
    <tableColumn id="10" xr3:uid="{A8FB9D89-F6E5-43EF-BB82-2DD983DC0036}" uniqueName="10" name="Wickets" queryTableFieldId="10" dataDxfId="34"/>
    <tableColumn id="11" xr3:uid="{32CB891E-3567-4C3F-AF6A-3F1A808C8122}" uniqueName="11" name="Economy" queryTableFieldId="11" dataDxfId="3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0EB5C22-7733-4CA8-9D58-82CE065EEDE2}" name="fact_match" displayName="fact_match" ref="A1:N61" tableType="queryTable" totalsRowShown="0">
  <autoFilter ref="A1:N61" xr:uid="{30EB5C22-7733-4CA8-9D58-82CE065EEDE2}"/>
  <tableColumns count="14">
    <tableColumn id="1" xr3:uid="{D48B871E-3BDC-459A-BB29-8EDF3E20A4D4}" uniqueName="1" name="Match_ID" queryTableFieldId="1" dataDxfId="32"/>
    <tableColumn id="2" xr3:uid="{0C162C00-3E58-42D3-932C-8A1879470FFA}" uniqueName="2" name="Date" queryTableFieldId="2" dataDxfId="31"/>
    <tableColumn id="3" xr3:uid="{60075141-2544-498E-90B5-926499B3BE3C}" uniqueName="3" name="Venue_ID" queryTableFieldId="3" dataDxfId="30"/>
    <tableColumn id="4" xr3:uid="{B216397C-AFF5-4576-B485-4427F1F73731}" uniqueName="4" name="Team1_ID" queryTableFieldId="4" dataDxfId="29"/>
    <tableColumn id="5" xr3:uid="{04304D23-4282-43B2-B6CA-C78ABB44479C}" uniqueName="5" name="Team2_ID" queryTableFieldId="5" dataDxfId="28"/>
    <tableColumn id="6" xr3:uid="{378681FA-0E48-46AB-9725-FE64372E502E}" uniqueName="6" name="Toss_Winner" queryTableFieldId="6" dataDxfId="27"/>
    <tableColumn id="7" xr3:uid="{4F6BB4E5-2972-485A-ACE8-630BD0796B4F}" uniqueName="7" name="Match_Winner" queryTableFieldId="7" dataDxfId="26"/>
    <tableColumn id="8" xr3:uid="{4A83AE84-7CCB-4479-81C8-6557A909DAFB}" uniqueName="8" name="Man_of_Match" queryTableFieldId="8" dataDxfId="25"/>
    <tableColumn id="9" xr3:uid="{239CAE21-4203-4CAD-8393-0472BABACF62}" uniqueName="9" name="Team1_Runs" queryTableFieldId="9" dataDxfId="24"/>
    <tableColumn id="10" xr3:uid="{9C3FB277-407F-4C0B-8CA0-302B6AD40567}" uniqueName="10" name="Team2_Runs" queryTableFieldId="10" dataDxfId="23"/>
    <tableColumn id="11" xr3:uid="{879C0142-FC74-48A7-A023-E05E82E449B4}" uniqueName="11" name="Team1_Wickets" queryTableFieldId="11" dataDxfId="22"/>
    <tableColumn id="12" xr3:uid="{5F5511CA-A32E-4215-97A0-EBD81BC9EAF9}" uniqueName="12" name="Team2_Wickets" queryTableFieldId="12" dataDxfId="21"/>
    <tableColumn id="13" xr3:uid="{77C469BE-6D75-4AD7-91D2-2B3D4ED8A8A7}" uniqueName="13" name="Overs_Team1" queryTableFieldId="13" dataDxfId="20"/>
    <tableColumn id="14" xr3:uid="{9BDDBE16-A775-4130-9EDC-B787D8851749}" uniqueName="14" name="Overs_Team2" queryTableFieldId="14" dataDxf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60D30D-7FB0-4359-9CDA-09382B0A9561}" name="dim_venue" displayName="dim_venue" ref="A1:D11" tableType="queryTable" totalsRowShown="0">
  <autoFilter ref="A1:D11" xr:uid="{3660D30D-7FB0-4359-9CDA-09382B0A9561}"/>
  <tableColumns count="4">
    <tableColumn id="1" xr3:uid="{945A9D59-9E5A-4298-8A05-608CD656EBBC}" uniqueName="1" name="Venue_ID" queryTableFieldId="1" dataDxfId="18"/>
    <tableColumn id="2" xr3:uid="{7782A885-440E-4702-8215-1D9967CD96BA}" uniqueName="2" name="Venue_Name" queryTableFieldId="2" dataDxfId="17"/>
    <tableColumn id="3" xr3:uid="{2F88F5BC-9E06-4D02-A49C-765A550ACE6C}" uniqueName="3" name="City" queryTableFieldId="3" dataDxfId="16"/>
    <tableColumn id="4" xr3:uid="{2ED324FD-FC9B-4B62-AD92-3A321EB7FA21}" uniqueName="4" name="Capacity" queryTableFieldId="4" dataDxfId="1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1FE711-1B77-4D56-BAC4-DC0A7FE8CF22}" name="dim_team" displayName="dim_team" ref="A1:G9" tableType="queryTable" totalsRowShown="0">
  <autoFilter ref="A1:G9" xr:uid="{451FE711-1B77-4D56-BAC4-DC0A7FE8CF22}"/>
  <tableColumns count="7">
    <tableColumn id="1" xr3:uid="{89D7EA27-34EF-4248-AA13-11A8CE20F86B}" uniqueName="1" name="Team_ID" queryTableFieldId="1" dataDxfId="14"/>
    <tableColumn id="2" xr3:uid="{AC9C0210-CC61-41BE-9C8E-4143E6A676AD}" uniqueName="2" name="Team_Name" queryTableFieldId="2" dataDxfId="13"/>
    <tableColumn id="3" xr3:uid="{32237C91-ACB7-49C7-A0DC-CB9786DA63BD}" uniqueName="3" name="Captain" queryTableFieldId="3" dataDxfId="12"/>
    <tableColumn id="4" xr3:uid="{3F81CECE-2C02-445D-84B6-7A3196856983}" uniqueName="4" name="Coach" queryTableFieldId="4" dataDxfId="11"/>
    <tableColumn id="5" xr3:uid="{1C52C39F-9EED-4E43-8103-9B96A702E1DE}" uniqueName="5" name="Home_Ground" queryTableFieldId="5" dataDxfId="10"/>
    <tableColumn id="6" xr3:uid="{89E2E157-C773-443D-A7CE-1E03ABED8A65}" uniqueName="6" name="City" queryTableFieldId="6" dataDxfId="9"/>
    <tableColumn id="7" xr3:uid="{D21C3285-756E-4B85-8A04-41258D1B605A}" uniqueName="7" name="Owner" queryTableFieldId="7" dataDxfId="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EFDBB0-C8F9-4D4B-A67B-007C358321A4}" name="dim_player" displayName="dim_player" ref="A1:H34" tableType="queryTable" totalsRowShown="0">
  <autoFilter ref="A1:H34" xr:uid="{58EFDBB0-C8F9-4D4B-A67B-007C358321A4}"/>
  <tableColumns count="8">
    <tableColumn id="1" xr3:uid="{FAC21D24-F85A-46D0-B234-814F171B6D4F}" uniqueName="1" name="Player_ID" queryTableFieldId="1" dataDxfId="7"/>
    <tableColumn id="2" xr3:uid="{5EE905E1-BA3F-43A0-A91B-08CE13977A5D}" uniqueName="2" name="Player_Name" queryTableFieldId="2" dataDxfId="6"/>
    <tableColumn id="3" xr3:uid="{427ADCD7-645A-432B-A84A-A25D1D6FBDC0}" uniqueName="3" name="Team_ID" queryTableFieldId="3" dataDxfId="5"/>
    <tableColumn id="4" xr3:uid="{B3B140B5-0CC4-4EB5-B881-7220806FF1AA}" uniqueName="4" name="Role" queryTableFieldId="4" dataDxfId="4"/>
    <tableColumn id="5" xr3:uid="{DDD256F9-4984-4382-9EFB-53E9EB2A599B}" uniqueName="5" name="Nationality" queryTableFieldId="5" dataDxfId="3"/>
    <tableColumn id="6" xr3:uid="{D34CA7E4-9741-4ED2-9489-3E925D93C345}" uniqueName="6" name="Age" queryTableFieldId="6" dataDxfId="2"/>
    <tableColumn id="7" xr3:uid="{B978B7B1-CA36-49A4-81D6-596AB09E0DD3}" uniqueName="7" name="Batting_Style" queryTableFieldId="7" dataDxfId="1"/>
    <tableColumn id="8" xr3:uid="{74D08E95-C91E-4535-B554-DD9E0F304790}" uniqueName="8" name="Bowling_Style"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drawing" Target="../drawings/drawing2.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8BA93-5228-4B93-AC1A-7F94CE45C545}">
  <dimension ref="A1:K202"/>
  <sheetViews>
    <sheetView workbookViewId="0">
      <selection activeCell="C1" sqref="C1:C1048576"/>
    </sheetView>
  </sheetViews>
  <sheetFormatPr defaultRowHeight="15" x14ac:dyDescent="0.25"/>
  <cols>
    <col min="1" max="2" width="11.7109375" bestFit="1" customWidth="1"/>
    <col min="3" max="3" width="7.5703125" bestFit="1" customWidth="1"/>
    <col min="4" max="4" width="13.5703125" bestFit="1" customWidth="1"/>
    <col min="5" max="5" width="8.140625" bestFit="1" customWidth="1"/>
    <col min="6" max="6" width="7.85546875" bestFit="1" customWidth="1"/>
    <col min="7" max="7" width="18.85546875" bestFit="1" customWidth="1"/>
    <col min="8" max="8" width="16.28515625" bestFit="1" customWidth="1"/>
    <col min="9" max="9" width="17.5703125" bestFit="1" customWidth="1"/>
    <col min="10" max="10" width="10.42578125" bestFit="1" customWidth="1"/>
    <col min="11" max="11" width="11.28515625" bestFit="1" customWidth="1"/>
  </cols>
  <sheetData>
    <row r="1" spans="1:11" x14ac:dyDescent="0.25">
      <c r="A1" t="s">
        <v>201</v>
      </c>
      <c r="B1" t="s">
        <v>0</v>
      </c>
      <c r="C1" t="s">
        <v>202</v>
      </c>
      <c r="D1" t="s">
        <v>203</v>
      </c>
      <c r="E1" t="s">
        <v>204</v>
      </c>
      <c r="F1" t="s">
        <v>205</v>
      </c>
      <c r="G1" t="s">
        <v>206</v>
      </c>
      <c r="H1" t="s">
        <v>207</v>
      </c>
      <c r="I1" t="s">
        <v>208</v>
      </c>
      <c r="J1" t="s">
        <v>209</v>
      </c>
      <c r="K1" t="s">
        <v>210</v>
      </c>
    </row>
    <row r="2" spans="1:11" x14ac:dyDescent="0.25">
      <c r="A2" t="s">
        <v>211</v>
      </c>
      <c r="B2" t="s">
        <v>34</v>
      </c>
      <c r="C2" t="s">
        <v>422</v>
      </c>
      <c r="D2" t="s">
        <v>39</v>
      </c>
      <c r="E2" t="s">
        <v>423</v>
      </c>
      <c r="F2" t="s">
        <v>424</v>
      </c>
      <c r="G2" t="s">
        <v>425</v>
      </c>
      <c r="H2" t="s">
        <v>426</v>
      </c>
      <c r="I2" t="s">
        <v>426</v>
      </c>
      <c r="J2" t="s">
        <v>426</v>
      </c>
      <c r="K2" t="s">
        <v>426</v>
      </c>
    </row>
    <row r="3" spans="1:11" x14ac:dyDescent="0.25">
      <c r="A3" t="s">
        <v>211</v>
      </c>
      <c r="B3" t="s">
        <v>47</v>
      </c>
      <c r="C3" t="s">
        <v>427</v>
      </c>
      <c r="D3" t="s">
        <v>428</v>
      </c>
      <c r="E3" t="s">
        <v>429</v>
      </c>
      <c r="F3" t="s">
        <v>430</v>
      </c>
      <c r="G3" t="s">
        <v>431</v>
      </c>
      <c r="H3" t="s">
        <v>426</v>
      </c>
      <c r="I3" t="s">
        <v>426</v>
      </c>
      <c r="J3" t="s">
        <v>426</v>
      </c>
      <c r="K3" t="s">
        <v>426</v>
      </c>
    </row>
    <row r="4" spans="1:11" x14ac:dyDescent="0.25">
      <c r="A4" t="s">
        <v>211</v>
      </c>
      <c r="B4" t="s">
        <v>53</v>
      </c>
      <c r="C4" t="s">
        <v>426</v>
      </c>
      <c r="D4" t="s">
        <v>426</v>
      </c>
      <c r="E4" t="s">
        <v>426</v>
      </c>
      <c r="F4" t="s">
        <v>426</v>
      </c>
      <c r="G4" t="s">
        <v>426</v>
      </c>
      <c r="H4" t="s">
        <v>432</v>
      </c>
      <c r="I4" t="s">
        <v>433</v>
      </c>
      <c r="J4" t="s">
        <v>430</v>
      </c>
      <c r="K4" t="s">
        <v>434</v>
      </c>
    </row>
    <row r="5" spans="1:11" x14ac:dyDescent="0.25">
      <c r="A5" t="s">
        <v>212</v>
      </c>
      <c r="B5" t="s">
        <v>119</v>
      </c>
      <c r="C5" t="s">
        <v>435</v>
      </c>
      <c r="D5" t="s">
        <v>422</v>
      </c>
      <c r="E5" t="s">
        <v>436</v>
      </c>
      <c r="F5" t="s">
        <v>432</v>
      </c>
      <c r="G5" t="s">
        <v>437</v>
      </c>
      <c r="H5" t="s">
        <v>426</v>
      </c>
      <c r="I5" t="s">
        <v>426</v>
      </c>
      <c r="J5" t="s">
        <v>426</v>
      </c>
      <c r="K5" t="s">
        <v>426</v>
      </c>
    </row>
    <row r="6" spans="1:11" x14ac:dyDescent="0.25">
      <c r="A6" t="s">
        <v>212</v>
      </c>
      <c r="B6" t="s">
        <v>71</v>
      </c>
      <c r="C6" t="s">
        <v>438</v>
      </c>
      <c r="D6" t="s">
        <v>93</v>
      </c>
      <c r="E6" t="s">
        <v>432</v>
      </c>
      <c r="F6" t="s">
        <v>439</v>
      </c>
      <c r="G6" t="s">
        <v>440</v>
      </c>
      <c r="H6" t="s">
        <v>426</v>
      </c>
      <c r="I6" t="s">
        <v>426</v>
      </c>
      <c r="J6" t="s">
        <v>426</v>
      </c>
      <c r="K6" t="s">
        <v>426</v>
      </c>
    </row>
    <row r="7" spans="1:11" x14ac:dyDescent="0.25">
      <c r="A7" t="s">
        <v>213</v>
      </c>
      <c r="B7" t="s">
        <v>63</v>
      </c>
      <c r="C7" t="s">
        <v>88</v>
      </c>
      <c r="D7" t="s">
        <v>441</v>
      </c>
      <c r="E7" t="s">
        <v>430</v>
      </c>
      <c r="F7" t="s">
        <v>424</v>
      </c>
      <c r="G7" t="s">
        <v>442</v>
      </c>
      <c r="H7" t="s">
        <v>432</v>
      </c>
      <c r="I7" t="s">
        <v>74</v>
      </c>
      <c r="J7" t="s">
        <v>424</v>
      </c>
      <c r="K7" t="s">
        <v>443</v>
      </c>
    </row>
    <row r="8" spans="1:11" x14ac:dyDescent="0.25">
      <c r="A8" t="s">
        <v>213</v>
      </c>
      <c r="B8" t="s">
        <v>101</v>
      </c>
      <c r="C8" t="s">
        <v>426</v>
      </c>
      <c r="D8" t="s">
        <v>426</v>
      </c>
      <c r="E8" t="s">
        <v>426</v>
      </c>
      <c r="F8" t="s">
        <v>426</v>
      </c>
      <c r="G8" t="s">
        <v>426</v>
      </c>
      <c r="H8" t="s">
        <v>432</v>
      </c>
      <c r="I8" t="s">
        <v>77</v>
      </c>
      <c r="J8" t="s">
        <v>430</v>
      </c>
      <c r="K8" t="s">
        <v>444</v>
      </c>
    </row>
    <row r="9" spans="1:11" x14ac:dyDescent="0.25">
      <c r="A9" t="s">
        <v>214</v>
      </c>
      <c r="B9" t="s">
        <v>84</v>
      </c>
      <c r="C9" t="s">
        <v>445</v>
      </c>
      <c r="D9" t="s">
        <v>446</v>
      </c>
      <c r="E9" t="s">
        <v>434</v>
      </c>
      <c r="F9" t="s">
        <v>430</v>
      </c>
      <c r="G9" t="s">
        <v>447</v>
      </c>
      <c r="H9" t="s">
        <v>426</v>
      </c>
      <c r="I9" t="s">
        <v>426</v>
      </c>
      <c r="J9" t="s">
        <v>426</v>
      </c>
      <c r="K9" t="s">
        <v>426</v>
      </c>
    </row>
    <row r="10" spans="1:11" x14ac:dyDescent="0.25">
      <c r="A10" t="s">
        <v>214</v>
      </c>
      <c r="B10" t="s">
        <v>16</v>
      </c>
      <c r="C10" t="s">
        <v>426</v>
      </c>
      <c r="D10" t="s">
        <v>426</v>
      </c>
      <c r="E10" t="s">
        <v>426</v>
      </c>
      <c r="F10" t="s">
        <v>426</v>
      </c>
      <c r="G10" t="s">
        <v>426</v>
      </c>
      <c r="H10" t="s">
        <v>448</v>
      </c>
      <c r="I10" t="s">
        <v>103</v>
      </c>
      <c r="J10" t="s">
        <v>424</v>
      </c>
      <c r="K10" t="s">
        <v>444</v>
      </c>
    </row>
    <row r="11" spans="1:11" x14ac:dyDescent="0.25">
      <c r="A11" t="s">
        <v>215</v>
      </c>
      <c r="B11" t="s">
        <v>95</v>
      </c>
      <c r="C11" t="s">
        <v>449</v>
      </c>
      <c r="D11" t="s">
        <v>450</v>
      </c>
      <c r="E11" t="s">
        <v>451</v>
      </c>
      <c r="F11" t="s">
        <v>424</v>
      </c>
      <c r="G11" t="s">
        <v>452</v>
      </c>
      <c r="H11" t="s">
        <v>426</v>
      </c>
      <c r="I11" t="s">
        <v>426</v>
      </c>
      <c r="J11" t="s">
        <v>426</v>
      </c>
      <c r="K11" t="s">
        <v>426</v>
      </c>
    </row>
    <row r="12" spans="1:11" x14ac:dyDescent="0.25">
      <c r="A12" t="s">
        <v>215</v>
      </c>
      <c r="B12" t="s">
        <v>47</v>
      </c>
      <c r="C12" t="s">
        <v>429</v>
      </c>
      <c r="D12" t="s">
        <v>434</v>
      </c>
      <c r="E12" t="s">
        <v>426</v>
      </c>
      <c r="F12" t="s">
        <v>426</v>
      </c>
      <c r="G12" t="s">
        <v>453</v>
      </c>
      <c r="H12" t="s">
        <v>426</v>
      </c>
      <c r="I12" t="s">
        <v>426</v>
      </c>
      <c r="J12" t="s">
        <v>426</v>
      </c>
      <c r="K12" t="s">
        <v>426</v>
      </c>
    </row>
    <row r="13" spans="1:11" x14ac:dyDescent="0.25">
      <c r="A13" t="s">
        <v>216</v>
      </c>
      <c r="B13" t="s">
        <v>66</v>
      </c>
      <c r="C13" t="s">
        <v>441</v>
      </c>
      <c r="D13" t="s">
        <v>436</v>
      </c>
      <c r="E13" t="s">
        <v>439</v>
      </c>
      <c r="F13" t="s">
        <v>439</v>
      </c>
      <c r="G13" t="s">
        <v>454</v>
      </c>
      <c r="H13" t="s">
        <v>432</v>
      </c>
      <c r="I13" t="s">
        <v>30</v>
      </c>
      <c r="J13" t="s">
        <v>430</v>
      </c>
      <c r="K13" t="s">
        <v>455</v>
      </c>
    </row>
    <row r="14" spans="1:11" x14ac:dyDescent="0.25">
      <c r="A14" t="s">
        <v>216</v>
      </c>
      <c r="B14" t="s">
        <v>75</v>
      </c>
      <c r="C14" t="s">
        <v>426</v>
      </c>
      <c r="D14" t="s">
        <v>426</v>
      </c>
      <c r="E14" t="s">
        <v>426</v>
      </c>
      <c r="F14" t="s">
        <v>426</v>
      </c>
      <c r="G14" t="s">
        <v>426</v>
      </c>
      <c r="H14" t="s">
        <v>432</v>
      </c>
      <c r="I14" t="s">
        <v>103</v>
      </c>
      <c r="J14" t="s">
        <v>439</v>
      </c>
      <c r="K14" t="s">
        <v>456</v>
      </c>
    </row>
    <row r="15" spans="1:11" x14ac:dyDescent="0.25">
      <c r="A15" t="s">
        <v>217</v>
      </c>
      <c r="B15" t="s">
        <v>37</v>
      </c>
      <c r="C15" t="s">
        <v>426</v>
      </c>
      <c r="D15" t="s">
        <v>426</v>
      </c>
      <c r="E15" t="s">
        <v>426</v>
      </c>
      <c r="F15" t="s">
        <v>426</v>
      </c>
      <c r="G15" t="s">
        <v>426</v>
      </c>
      <c r="H15" t="s">
        <v>432</v>
      </c>
      <c r="I15" t="s">
        <v>114</v>
      </c>
      <c r="J15" t="s">
        <v>424</v>
      </c>
      <c r="K15" t="s">
        <v>423</v>
      </c>
    </row>
    <row r="16" spans="1:11" x14ac:dyDescent="0.25">
      <c r="A16" t="s">
        <v>217</v>
      </c>
      <c r="B16" t="s">
        <v>98</v>
      </c>
      <c r="C16" t="s">
        <v>93</v>
      </c>
      <c r="D16" t="s">
        <v>103</v>
      </c>
      <c r="E16" t="s">
        <v>430</v>
      </c>
      <c r="F16" t="s">
        <v>430</v>
      </c>
      <c r="G16" t="s">
        <v>457</v>
      </c>
      <c r="H16" t="s">
        <v>426</v>
      </c>
      <c r="I16" t="s">
        <v>426</v>
      </c>
      <c r="J16" t="s">
        <v>426</v>
      </c>
      <c r="K16" t="s">
        <v>426</v>
      </c>
    </row>
    <row r="17" spans="1:11" x14ac:dyDescent="0.25">
      <c r="A17" t="s">
        <v>218</v>
      </c>
      <c r="B17" t="s">
        <v>117</v>
      </c>
      <c r="C17" t="s">
        <v>458</v>
      </c>
      <c r="D17" t="s">
        <v>433</v>
      </c>
      <c r="E17" t="s">
        <v>424</v>
      </c>
      <c r="F17" t="s">
        <v>429</v>
      </c>
      <c r="G17" t="s">
        <v>459</v>
      </c>
      <c r="H17" t="s">
        <v>426</v>
      </c>
      <c r="I17" t="s">
        <v>426</v>
      </c>
      <c r="J17" t="s">
        <v>426</v>
      </c>
      <c r="K17" t="s">
        <v>426</v>
      </c>
    </row>
    <row r="18" spans="1:11" x14ac:dyDescent="0.25">
      <c r="A18" t="s">
        <v>218</v>
      </c>
      <c r="B18" t="s">
        <v>27</v>
      </c>
      <c r="C18" t="s">
        <v>30</v>
      </c>
      <c r="D18" t="s">
        <v>460</v>
      </c>
      <c r="E18" t="s">
        <v>439</v>
      </c>
      <c r="F18" t="s">
        <v>426</v>
      </c>
      <c r="G18" t="s">
        <v>461</v>
      </c>
      <c r="H18" t="s">
        <v>426</v>
      </c>
      <c r="I18" t="s">
        <v>426</v>
      </c>
      <c r="J18" t="s">
        <v>426</v>
      </c>
      <c r="K18" t="s">
        <v>426</v>
      </c>
    </row>
    <row r="19" spans="1:11" x14ac:dyDescent="0.25">
      <c r="A19" t="s">
        <v>219</v>
      </c>
      <c r="B19" t="s">
        <v>68</v>
      </c>
      <c r="C19" t="s">
        <v>426</v>
      </c>
      <c r="D19" t="s">
        <v>426</v>
      </c>
      <c r="E19" t="s">
        <v>426</v>
      </c>
      <c r="F19" t="s">
        <v>426</v>
      </c>
      <c r="G19" t="s">
        <v>426</v>
      </c>
      <c r="H19" t="s">
        <v>462</v>
      </c>
      <c r="I19" t="s">
        <v>460</v>
      </c>
      <c r="J19" t="s">
        <v>432</v>
      </c>
      <c r="K19" t="s">
        <v>463</v>
      </c>
    </row>
    <row r="20" spans="1:11" x14ac:dyDescent="0.25">
      <c r="A20" t="s">
        <v>219</v>
      </c>
      <c r="B20" t="s">
        <v>47</v>
      </c>
      <c r="C20" t="s">
        <v>446</v>
      </c>
      <c r="D20" t="s">
        <v>77</v>
      </c>
      <c r="E20" t="s">
        <v>424</v>
      </c>
      <c r="F20" t="s">
        <v>439</v>
      </c>
      <c r="G20" t="s">
        <v>464</v>
      </c>
      <c r="H20" t="s">
        <v>426</v>
      </c>
      <c r="I20" t="s">
        <v>426</v>
      </c>
      <c r="J20" t="s">
        <v>426</v>
      </c>
      <c r="K20" t="s">
        <v>426</v>
      </c>
    </row>
    <row r="21" spans="1:11" x14ac:dyDescent="0.25">
      <c r="A21" t="s">
        <v>220</v>
      </c>
      <c r="B21" t="s">
        <v>75</v>
      </c>
      <c r="C21" t="s">
        <v>426</v>
      </c>
      <c r="D21" t="s">
        <v>426</v>
      </c>
      <c r="E21" t="s">
        <v>426</v>
      </c>
      <c r="F21" t="s">
        <v>426</v>
      </c>
      <c r="G21" t="s">
        <v>426</v>
      </c>
      <c r="H21" t="s">
        <v>432</v>
      </c>
      <c r="I21" t="s">
        <v>465</v>
      </c>
      <c r="J21" t="s">
        <v>430</v>
      </c>
      <c r="K21" t="s">
        <v>466</v>
      </c>
    </row>
    <row r="22" spans="1:11" x14ac:dyDescent="0.25">
      <c r="A22" t="s">
        <v>220</v>
      </c>
      <c r="B22" t="s">
        <v>95</v>
      </c>
      <c r="C22" t="s">
        <v>467</v>
      </c>
      <c r="D22" t="s">
        <v>468</v>
      </c>
      <c r="E22" t="s">
        <v>439</v>
      </c>
      <c r="F22" t="s">
        <v>426</v>
      </c>
      <c r="G22" t="s">
        <v>469</v>
      </c>
      <c r="H22" t="s">
        <v>426</v>
      </c>
      <c r="I22" t="s">
        <v>426</v>
      </c>
      <c r="J22" t="s">
        <v>426</v>
      </c>
      <c r="K22" t="s">
        <v>426</v>
      </c>
    </row>
    <row r="23" spans="1:11" x14ac:dyDescent="0.25">
      <c r="A23" t="s">
        <v>221</v>
      </c>
      <c r="B23" t="s">
        <v>98</v>
      </c>
      <c r="C23" t="s">
        <v>470</v>
      </c>
      <c r="D23" t="s">
        <v>438</v>
      </c>
      <c r="E23" t="s">
        <v>429</v>
      </c>
      <c r="F23" t="s">
        <v>432</v>
      </c>
      <c r="G23" t="s">
        <v>471</v>
      </c>
      <c r="H23" t="s">
        <v>426</v>
      </c>
      <c r="I23" t="s">
        <v>426</v>
      </c>
      <c r="J23" t="s">
        <v>426</v>
      </c>
      <c r="K23" t="s">
        <v>426</v>
      </c>
    </row>
    <row r="24" spans="1:11" x14ac:dyDescent="0.25">
      <c r="A24" t="s">
        <v>221</v>
      </c>
      <c r="B24" t="s">
        <v>31</v>
      </c>
      <c r="C24" t="s">
        <v>103</v>
      </c>
      <c r="D24" t="s">
        <v>441</v>
      </c>
      <c r="E24" t="s">
        <v>439</v>
      </c>
      <c r="F24" t="s">
        <v>439</v>
      </c>
      <c r="G24" t="s">
        <v>472</v>
      </c>
      <c r="H24" t="s">
        <v>432</v>
      </c>
      <c r="I24" t="s">
        <v>93</v>
      </c>
      <c r="J24" t="s">
        <v>439</v>
      </c>
      <c r="K24" t="s">
        <v>473</v>
      </c>
    </row>
    <row r="25" spans="1:11" x14ac:dyDescent="0.25">
      <c r="A25" t="s">
        <v>222</v>
      </c>
      <c r="B25" t="s">
        <v>41</v>
      </c>
      <c r="C25" t="s">
        <v>474</v>
      </c>
      <c r="D25" t="s">
        <v>39</v>
      </c>
      <c r="E25" t="s">
        <v>432</v>
      </c>
      <c r="F25" t="s">
        <v>439</v>
      </c>
      <c r="G25" t="s">
        <v>475</v>
      </c>
      <c r="H25" t="s">
        <v>426</v>
      </c>
      <c r="I25" t="s">
        <v>426</v>
      </c>
      <c r="J25" t="s">
        <v>426</v>
      </c>
      <c r="K25" t="s">
        <v>426</v>
      </c>
    </row>
    <row r="26" spans="1:11" x14ac:dyDescent="0.25">
      <c r="A26" t="s">
        <v>222</v>
      </c>
      <c r="B26" t="s">
        <v>115</v>
      </c>
      <c r="C26" t="s">
        <v>426</v>
      </c>
      <c r="D26" t="s">
        <v>426</v>
      </c>
      <c r="E26" t="s">
        <v>426</v>
      </c>
      <c r="F26" t="s">
        <v>426</v>
      </c>
      <c r="G26" t="s">
        <v>426</v>
      </c>
      <c r="H26" t="s">
        <v>432</v>
      </c>
      <c r="I26" t="s">
        <v>77</v>
      </c>
      <c r="J26" t="s">
        <v>430</v>
      </c>
      <c r="K26" t="s">
        <v>444</v>
      </c>
    </row>
    <row r="27" spans="1:11" x14ac:dyDescent="0.25">
      <c r="A27" t="s">
        <v>223</v>
      </c>
      <c r="B27" t="s">
        <v>47</v>
      </c>
      <c r="C27" t="s">
        <v>476</v>
      </c>
      <c r="D27" t="s">
        <v>477</v>
      </c>
      <c r="E27" t="s">
        <v>467</v>
      </c>
      <c r="F27" t="s">
        <v>424</v>
      </c>
      <c r="G27" t="s">
        <v>478</v>
      </c>
      <c r="H27" t="s">
        <v>426</v>
      </c>
      <c r="I27" t="s">
        <v>426</v>
      </c>
      <c r="J27" t="s">
        <v>426</v>
      </c>
      <c r="K27" t="s">
        <v>426</v>
      </c>
    </row>
    <row r="28" spans="1:11" x14ac:dyDescent="0.25">
      <c r="A28" t="s">
        <v>223</v>
      </c>
      <c r="B28" t="s">
        <v>79</v>
      </c>
      <c r="C28" t="s">
        <v>426</v>
      </c>
      <c r="D28" t="s">
        <v>426</v>
      </c>
      <c r="E28" t="s">
        <v>426</v>
      </c>
      <c r="F28" t="s">
        <v>426</v>
      </c>
      <c r="G28" t="s">
        <v>426</v>
      </c>
      <c r="H28" t="s">
        <v>432</v>
      </c>
      <c r="I28" t="s">
        <v>446</v>
      </c>
      <c r="J28" t="s">
        <v>439</v>
      </c>
      <c r="K28" t="s">
        <v>436</v>
      </c>
    </row>
    <row r="29" spans="1:11" x14ac:dyDescent="0.25">
      <c r="A29" t="s">
        <v>224</v>
      </c>
      <c r="B29" t="s">
        <v>8</v>
      </c>
      <c r="C29" t="s">
        <v>449</v>
      </c>
      <c r="D29" t="s">
        <v>474</v>
      </c>
      <c r="E29" t="s">
        <v>479</v>
      </c>
      <c r="F29" t="s">
        <v>432</v>
      </c>
      <c r="G29" t="s">
        <v>480</v>
      </c>
      <c r="H29" t="s">
        <v>426</v>
      </c>
      <c r="I29" t="s">
        <v>426</v>
      </c>
      <c r="J29" t="s">
        <v>426</v>
      </c>
      <c r="K29" t="s">
        <v>426</v>
      </c>
    </row>
    <row r="30" spans="1:11" x14ac:dyDescent="0.25">
      <c r="A30" t="s">
        <v>224</v>
      </c>
      <c r="B30" t="s">
        <v>89</v>
      </c>
      <c r="C30" t="s">
        <v>426</v>
      </c>
      <c r="D30" t="s">
        <v>426</v>
      </c>
      <c r="E30" t="s">
        <v>426</v>
      </c>
      <c r="F30" t="s">
        <v>426</v>
      </c>
      <c r="G30" t="s">
        <v>426</v>
      </c>
      <c r="H30" t="s">
        <v>432</v>
      </c>
      <c r="I30" t="s">
        <v>77</v>
      </c>
      <c r="J30" t="s">
        <v>439</v>
      </c>
      <c r="K30" t="s">
        <v>444</v>
      </c>
    </row>
    <row r="31" spans="1:11" x14ac:dyDescent="0.25">
      <c r="A31" t="s">
        <v>225</v>
      </c>
      <c r="B31" t="s">
        <v>111</v>
      </c>
      <c r="C31" t="s">
        <v>445</v>
      </c>
      <c r="D31" t="s">
        <v>446</v>
      </c>
      <c r="E31" t="s">
        <v>423</v>
      </c>
      <c r="F31" t="s">
        <v>430</v>
      </c>
      <c r="G31" t="s">
        <v>447</v>
      </c>
      <c r="H31" t="s">
        <v>426</v>
      </c>
      <c r="I31" t="s">
        <v>426</v>
      </c>
      <c r="J31" t="s">
        <v>426</v>
      </c>
      <c r="K31" t="s">
        <v>426</v>
      </c>
    </row>
    <row r="32" spans="1:11" x14ac:dyDescent="0.25">
      <c r="A32" t="s">
        <v>225</v>
      </c>
      <c r="B32" t="s">
        <v>59</v>
      </c>
      <c r="C32" t="s">
        <v>436</v>
      </c>
      <c r="D32" t="s">
        <v>451</v>
      </c>
      <c r="E32" t="s">
        <v>426</v>
      </c>
      <c r="F32" t="s">
        <v>439</v>
      </c>
      <c r="G32" t="s">
        <v>481</v>
      </c>
      <c r="H32" t="s">
        <v>426</v>
      </c>
      <c r="I32" t="s">
        <v>426</v>
      </c>
      <c r="J32" t="s">
        <v>426</v>
      </c>
      <c r="K32" t="s">
        <v>426</v>
      </c>
    </row>
    <row r="33" spans="1:11" x14ac:dyDescent="0.25">
      <c r="A33" t="s">
        <v>226</v>
      </c>
      <c r="B33" t="s">
        <v>101</v>
      </c>
      <c r="C33" t="s">
        <v>426</v>
      </c>
      <c r="D33" t="s">
        <v>426</v>
      </c>
      <c r="E33" t="s">
        <v>426</v>
      </c>
      <c r="F33" t="s">
        <v>426</v>
      </c>
      <c r="G33" t="s">
        <v>426</v>
      </c>
      <c r="H33" t="s">
        <v>432</v>
      </c>
      <c r="I33" t="s">
        <v>30</v>
      </c>
      <c r="J33" t="s">
        <v>424</v>
      </c>
      <c r="K33" t="s">
        <v>455</v>
      </c>
    </row>
    <row r="34" spans="1:11" x14ac:dyDescent="0.25">
      <c r="A34" t="s">
        <v>226</v>
      </c>
      <c r="B34" t="s">
        <v>71</v>
      </c>
      <c r="C34" t="s">
        <v>446</v>
      </c>
      <c r="D34" t="s">
        <v>77</v>
      </c>
      <c r="E34" t="s">
        <v>432</v>
      </c>
      <c r="F34" t="s">
        <v>439</v>
      </c>
      <c r="G34" t="s">
        <v>464</v>
      </c>
      <c r="H34" t="s">
        <v>426</v>
      </c>
      <c r="I34" t="s">
        <v>426</v>
      </c>
      <c r="J34" t="s">
        <v>426</v>
      </c>
      <c r="K34" t="s">
        <v>426</v>
      </c>
    </row>
    <row r="35" spans="1:11" x14ac:dyDescent="0.25">
      <c r="A35" t="s">
        <v>227</v>
      </c>
      <c r="B35" t="s">
        <v>34</v>
      </c>
      <c r="C35" t="s">
        <v>482</v>
      </c>
      <c r="D35" t="s">
        <v>77</v>
      </c>
      <c r="E35" t="s">
        <v>429</v>
      </c>
      <c r="F35" t="s">
        <v>424</v>
      </c>
      <c r="G35" t="s">
        <v>480</v>
      </c>
      <c r="H35" t="s">
        <v>426</v>
      </c>
      <c r="I35" t="s">
        <v>426</v>
      </c>
      <c r="J35" t="s">
        <v>426</v>
      </c>
      <c r="K35" t="s">
        <v>426</v>
      </c>
    </row>
    <row r="36" spans="1:11" x14ac:dyDescent="0.25">
      <c r="A36" t="s">
        <v>227</v>
      </c>
      <c r="B36" t="s">
        <v>16</v>
      </c>
      <c r="C36" t="s">
        <v>426</v>
      </c>
      <c r="D36" t="s">
        <v>426</v>
      </c>
      <c r="E36" t="s">
        <v>426</v>
      </c>
      <c r="F36" t="s">
        <v>426</v>
      </c>
      <c r="G36" t="s">
        <v>426</v>
      </c>
      <c r="H36" t="s">
        <v>432</v>
      </c>
      <c r="I36" t="s">
        <v>39</v>
      </c>
      <c r="J36" t="s">
        <v>439</v>
      </c>
      <c r="K36" t="s">
        <v>451</v>
      </c>
    </row>
    <row r="37" spans="1:11" x14ac:dyDescent="0.25">
      <c r="A37" t="s">
        <v>228</v>
      </c>
      <c r="B37" t="s">
        <v>53</v>
      </c>
      <c r="C37" t="s">
        <v>483</v>
      </c>
      <c r="D37" t="s">
        <v>446</v>
      </c>
      <c r="E37" t="s">
        <v>423</v>
      </c>
      <c r="F37" t="s">
        <v>424</v>
      </c>
      <c r="G37" t="s">
        <v>484</v>
      </c>
      <c r="H37" t="s">
        <v>426</v>
      </c>
      <c r="I37" t="s">
        <v>426</v>
      </c>
      <c r="J37" t="s">
        <v>426</v>
      </c>
      <c r="K37" t="s">
        <v>426</v>
      </c>
    </row>
    <row r="38" spans="1:11" x14ac:dyDescent="0.25">
      <c r="A38" t="s">
        <v>228</v>
      </c>
      <c r="B38" t="s">
        <v>115</v>
      </c>
      <c r="C38" t="s">
        <v>426</v>
      </c>
      <c r="D38" t="s">
        <v>426</v>
      </c>
      <c r="E38" t="s">
        <v>426</v>
      </c>
      <c r="F38" t="s">
        <v>426</v>
      </c>
      <c r="G38" t="s">
        <v>426</v>
      </c>
      <c r="H38" t="s">
        <v>432</v>
      </c>
      <c r="I38" t="s">
        <v>485</v>
      </c>
      <c r="J38" t="s">
        <v>439</v>
      </c>
      <c r="K38" t="s">
        <v>486</v>
      </c>
    </row>
    <row r="39" spans="1:11" x14ac:dyDescent="0.25">
      <c r="A39" t="s">
        <v>229</v>
      </c>
      <c r="B39" t="s">
        <v>89</v>
      </c>
      <c r="C39" t="s">
        <v>426</v>
      </c>
      <c r="D39" t="s">
        <v>426</v>
      </c>
      <c r="E39" t="s">
        <v>426</v>
      </c>
      <c r="F39" t="s">
        <v>426</v>
      </c>
      <c r="G39" t="s">
        <v>426</v>
      </c>
      <c r="H39" t="s">
        <v>432</v>
      </c>
      <c r="I39" t="s">
        <v>487</v>
      </c>
      <c r="J39" t="s">
        <v>424</v>
      </c>
      <c r="K39" t="s">
        <v>429</v>
      </c>
    </row>
    <row r="40" spans="1:11" x14ac:dyDescent="0.25">
      <c r="A40" t="s">
        <v>229</v>
      </c>
      <c r="B40" t="s">
        <v>63</v>
      </c>
      <c r="C40" t="s">
        <v>103</v>
      </c>
      <c r="D40" t="s">
        <v>488</v>
      </c>
      <c r="E40" t="s">
        <v>430</v>
      </c>
      <c r="F40" t="s">
        <v>430</v>
      </c>
      <c r="G40" t="s">
        <v>471</v>
      </c>
      <c r="H40" t="s">
        <v>426</v>
      </c>
      <c r="I40" t="s">
        <v>426</v>
      </c>
      <c r="J40" t="s">
        <v>426</v>
      </c>
      <c r="K40" t="s">
        <v>426</v>
      </c>
    </row>
    <row r="41" spans="1:11" x14ac:dyDescent="0.25">
      <c r="A41" t="s">
        <v>230</v>
      </c>
      <c r="B41" t="s">
        <v>79</v>
      </c>
      <c r="C41" t="s">
        <v>428</v>
      </c>
      <c r="D41" t="s">
        <v>77</v>
      </c>
      <c r="E41" t="s">
        <v>432</v>
      </c>
      <c r="F41" t="s">
        <v>424</v>
      </c>
      <c r="G41" t="s">
        <v>471</v>
      </c>
      <c r="H41" t="s">
        <v>426</v>
      </c>
      <c r="I41" t="s">
        <v>426</v>
      </c>
      <c r="J41" t="s">
        <v>426</v>
      </c>
      <c r="K41" t="s">
        <v>426</v>
      </c>
    </row>
    <row r="42" spans="1:11" x14ac:dyDescent="0.25">
      <c r="A42" t="s">
        <v>230</v>
      </c>
      <c r="B42" t="s">
        <v>107</v>
      </c>
      <c r="C42" t="s">
        <v>426</v>
      </c>
      <c r="D42" t="s">
        <v>426</v>
      </c>
      <c r="E42" t="s">
        <v>426</v>
      </c>
      <c r="F42" t="s">
        <v>426</v>
      </c>
      <c r="G42" t="s">
        <v>426</v>
      </c>
      <c r="H42" t="s">
        <v>432</v>
      </c>
      <c r="I42" t="s">
        <v>446</v>
      </c>
      <c r="J42" t="s">
        <v>426</v>
      </c>
      <c r="K42" t="s">
        <v>436</v>
      </c>
    </row>
    <row r="43" spans="1:11" x14ac:dyDescent="0.25">
      <c r="A43" t="s">
        <v>231</v>
      </c>
      <c r="B43" t="s">
        <v>16</v>
      </c>
      <c r="C43" t="s">
        <v>426</v>
      </c>
      <c r="D43" t="s">
        <v>426</v>
      </c>
      <c r="E43" t="s">
        <v>426</v>
      </c>
      <c r="F43" t="s">
        <v>426</v>
      </c>
      <c r="G43" t="s">
        <v>426</v>
      </c>
      <c r="H43" t="s">
        <v>432</v>
      </c>
      <c r="I43" t="s">
        <v>24</v>
      </c>
      <c r="J43" t="s">
        <v>424</v>
      </c>
      <c r="K43" t="s">
        <v>489</v>
      </c>
    </row>
    <row r="44" spans="1:11" x14ac:dyDescent="0.25">
      <c r="A44" t="s">
        <v>231</v>
      </c>
      <c r="B44" t="s">
        <v>59</v>
      </c>
      <c r="C44" t="s">
        <v>93</v>
      </c>
      <c r="D44" t="s">
        <v>433</v>
      </c>
      <c r="E44" t="s">
        <v>424</v>
      </c>
      <c r="F44" t="s">
        <v>439</v>
      </c>
      <c r="G44" t="s">
        <v>481</v>
      </c>
      <c r="H44" t="s">
        <v>426</v>
      </c>
      <c r="I44" t="s">
        <v>426</v>
      </c>
      <c r="J44" t="s">
        <v>426</v>
      </c>
      <c r="K44" t="s">
        <v>426</v>
      </c>
    </row>
    <row r="45" spans="1:11" x14ac:dyDescent="0.25">
      <c r="A45" t="s">
        <v>232</v>
      </c>
      <c r="B45" t="s">
        <v>115</v>
      </c>
      <c r="C45" t="s">
        <v>426</v>
      </c>
      <c r="D45" t="s">
        <v>426</v>
      </c>
      <c r="E45" t="s">
        <v>426</v>
      </c>
      <c r="F45" t="s">
        <v>426</v>
      </c>
      <c r="G45" t="s">
        <v>426</v>
      </c>
      <c r="H45" t="s">
        <v>432</v>
      </c>
      <c r="I45" t="s">
        <v>97</v>
      </c>
      <c r="J45" t="s">
        <v>430</v>
      </c>
      <c r="K45" t="s">
        <v>490</v>
      </c>
    </row>
    <row r="46" spans="1:11" x14ac:dyDescent="0.25">
      <c r="A46" t="s">
        <v>232</v>
      </c>
      <c r="B46" t="s">
        <v>91</v>
      </c>
      <c r="C46" t="s">
        <v>426</v>
      </c>
      <c r="D46" t="s">
        <v>426</v>
      </c>
      <c r="E46" t="s">
        <v>426</v>
      </c>
      <c r="F46" t="s">
        <v>426</v>
      </c>
      <c r="G46" t="s">
        <v>426</v>
      </c>
      <c r="H46" t="s">
        <v>432</v>
      </c>
      <c r="I46" t="s">
        <v>88</v>
      </c>
      <c r="J46" t="s">
        <v>439</v>
      </c>
      <c r="K46" t="s">
        <v>491</v>
      </c>
    </row>
    <row r="47" spans="1:11" x14ac:dyDescent="0.25">
      <c r="A47" t="s">
        <v>233</v>
      </c>
      <c r="B47" t="s">
        <v>47</v>
      </c>
      <c r="C47" t="s">
        <v>492</v>
      </c>
      <c r="D47" t="s">
        <v>482</v>
      </c>
      <c r="E47" t="s">
        <v>434</v>
      </c>
      <c r="F47" t="s">
        <v>430</v>
      </c>
      <c r="G47" t="s">
        <v>493</v>
      </c>
      <c r="H47" t="s">
        <v>426</v>
      </c>
      <c r="I47" t="s">
        <v>426</v>
      </c>
      <c r="J47" t="s">
        <v>426</v>
      </c>
      <c r="K47" t="s">
        <v>426</v>
      </c>
    </row>
    <row r="48" spans="1:11" x14ac:dyDescent="0.25">
      <c r="A48" t="s">
        <v>233</v>
      </c>
      <c r="B48" t="s">
        <v>41</v>
      </c>
      <c r="C48" t="s">
        <v>77</v>
      </c>
      <c r="D48" t="s">
        <v>30</v>
      </c>
      <c r="E48" t="s">
        <v>424</v>
      </c>
      <c r="F48" t="s">
        <v>426</v>
      </c>
      <c r="G48" t="s">
        <v>494</v>
      </c>
      <c r="H48" t="s">
        <v>426</v>
      </c>
      <c r="I48" t="s">
        <v>426</v>
      </c>
      <c r="J48" t="s">
        <v>426</v>
      </c>
      <c r="K48" t="s">
        <v>426</v>
      </c>
    </row>
    <row r="49" spans="1:11" x14ac:dyDescent="0.25">
      <c r="A49" t="s">
        <v>234</v>
      </c>
      <c r="B49" t="s">
        <v>21</v>
      </c>
      <c r="C49" t="s">
        <v>495</v>
      </c>
      <c r="D49" t="s">
        <v>438</v>
      </c>
      <c r="E49" t="s">
        <v>451</v>
      </c>
      <c r="F49" t="s">
        <v>424</v>
      </c>
      <c r="G49" t="s">
        <v>496</v>
      </c>
      <c r="H49" t="s">
        <v>426</v>
      </c>
      <c r="I49" t="s">
        <v>426</v>
      </c>
      <c r="J49" t="s">
        <v>426</v>
      </c>
      <c r="K49" t="s">
        <v>426</v>
      </c>
    </row>
    <row r="50" spans="1:11" x14ac:dyDescent="0.25">
      <c r="A50" t="s">
        <v>234</v>
      </c>
      <c r="B50" t="s">
        <v>81</v>
      </c>
      <c r="C50" t="s">
        <v>426</v>
      </c>
      <c r="D50" t="s">
        <v>426</v>
      </c>
      <c r="E50" t="s">
        <v>426</v>
      </c>
      <c r="F50" t="s">
        <v>426</v>
      </c>
      <c r="G50" t="s">
        <v>426</v>
      </c>
      <c r="H50" t="s">
        <v>432</v>
      </c>
      <c r="I50" t="s">
        <v>433</v>
      </c>
      <c r="J50" t="s">
        <v>439</v>
      </c>
      <c r="K50" t="s">
        <v>434</v>
      </c>
    </row>
    <row r="51" spans="1:11" x14ac:dyDescent="0.25">
      <c r="A51" t="s">
        <v>235</v>
      </c>
      <c r="B51" t="s">
        <v>119</v>
      </c>
      <c r="C51" t="s">
        <v>497</v>
      </c>
      <c r="D51" t="s">
        <v>428</v>
      </c>
      <c r="E51" t="s">
        <v>498</v>
      </c>
      <c r="F51" t="s">
        <v>424</v>
      </c>
      <c r="G51" t="s">
        <v>454</v>
      </c>
      <c r="H51" t="s">
        <v>426</v>
      </c>
      <c r="I51" t="s">
        <v>426</v>
      </c>
      <c r="J51" t="s">
        <v>426</v>
      </c>
      <c r="K51" t="s">
        <v>426</v>
      </c>
    </row>
    <row r="52" spans="1:11" x14ac:dyDescent="0.25">
      <c r="A52" t="s">
        <v>235</v>
      </c>
      <c r="B52" t="s">
        <v>98</v>
      </c>
      <c r="C52" t="s">
        <v>428</v>
      </c>
      <c r="D52" t="s">
        <v>93</v>
      </c>
      <c r="E52" t="s">
        <v>432</v>
      </c>
      <c r="F52" t="s">
        <v>430</v>
      </c>
      <c r="G52" t="s">
        <v>499</v>
      </c>
      <c r="H52" t="s">
        <v>426</v>
      </c>
      <c r="I52" t="s">
        <v>426</v>
      </c>
      <c r="J52" t="s">
        <v>426</v>
      </c>
      <c r="K52" t="s">
        <v>426</v>
      </c>
    </row>
    <row r="53" spans="1:11" x14ac:dyDescent="0.25">
      <c r="A53" t="s">
        <v>236</v>
      </c>
      <c r="B53" t="s">
        <v>44</v>
      </c>
      <c r="C53" t="s">
        <v>426</v>
      </c>
      <c r="D53" t="s">
        <v>426</v>
      </c>
      <c r="E53" t="s">
        <v>426</v>
      </c>
      <c r="F53" t="s">
        <v>426</v>
      </c>
      <c r="G53" t="s">
        <v>426</v>
      </c>
      <c r="H53" t="s">
        <v>432</v>
      </c>
      <c r="I53" t="s">
        <v>500</v>
      </c>
      <c r="J53" t="s">
        <v>424</v>
      </c>
      <c r="K53" t="s">
        <v>501</v>
      </c>
    </row>
    <row r="54" spans="1:11" x14ac:dyDescent="0.25">
      <c r="A54" t="s">
        <v>236</v>
      </c>
      <c r="B54" t="s">
        <v>66</v>
      </c>
      <c r="C54" t="s">
        <v>488</v>
      </c>
      <c r="D54" t="s">
        <v>436</v>
      </c>
      <c r="E54" t="s">
        <v>439</v>
      </c>
      <c r="F54" t="s">
        <v>439</v>
      </c>
      <c r="G54" t="s">
        <v>475</v>
      </c>
      <c r="H54" t="s">
        <v>432</v>
      </c>
      <c r="I54" t="s">
        <v>103</v>
      </c>
      <c r="J54" t="s">
        <v>439</v>
      </c>
      <c r="K54" t="s">
        <v>456</v>
      </c>
    </row>
    <row r="55" spans="1:11" x14ac:dyDescent="0.25">
      <c r="A55" t="s">
        <v>237</v>
      </c>
      <c r="B55" t="s">
        <v>84</v>
      </c>
      <c r="C55" t="s">
        <v>502</v>
      </c>
      <c r="D55" t="s">
        <v>503</v>
      </c>
      <c r="E55" t="s">
        <v>436</v>
      </c>
      <c r="F55" t="s">
        <v>432</v>
      </c>
      <c r="G55" t="s">
        <v>504</v>
      </c>
      <c r="H55" t="s">
        <v>426</v>
      </c>
      <c r="I55" t="s">
        <v>426</v>
      </c>
      <c r="J55" t="s">
        <v>426</v>
      </c>
      <c r="K55" t="s">
        <v>426</v>
      </c>
    </row>
    <row r="56" spans="1:11" x14ac:dyDescent="0.25">
      <c r="A56" t="s">
        <v>237</v>
      </c>
      <c r="B56" t="s">
        <v>53</v>
      </c>
      <c r="C56" t="s">
        <v>13</v>
      </c>
      <c r="D56" t="s">
        <v>487</v>
      </c>
      <c r="E56" t="s">
        <v>424</v>
      </c>
      <c r="F56" t="s">
        <v>430</v>
      </c>
      <c r="G56" t="s">
        <v>505</v>
      </c>
      <c r="H56" t="s">
        <v>426</v>
      </c>
      <c r="I56" t="s">
        <v>426</v>
      </c>
      <c r="J56" t="s">
        <v>426</v>
      </c>
      <c r="K56" t="s">
        <v>426</v>
      </c>
    </row>
    <row r="57" spans="1:11" x14ac:dyDescent="0.25">
      <c r="A57" t="s">
        <v>238</v>
      </c>
      <c r="B57" t="s">
        <v>27</v>
      </c>
      <c r="C57" t="s">
        <v>477</v>
      </c>
      <c r="D57" t="s">
        <v>93</v>
      </c>
      <c r="E57" t="s">
        <v>429</v>
      </c>
      <c r="F57" t="s">
        <v>424</v>
      </c>
      <c r="G57" t="s">
        <v>506</v>
      </c>
      <c r="H57" t="s">
        <v>426</v>
      </c>
      <c r="I57" t="s">
        <v>426</v>
      </c>
      <c r="J57" t="s">
        <v>426</v>
      </c>
      <c r="K57" t="s">
        <v>426</v>
      </c>
    </row>
    <row r="58" spans="1:11" x14ac:dyDescent="0.25">
      <c r="A58" t="s">
        <v>238</v>
      </c>
      <c r="B58" t="s">
        <v>71</v>
      </c>
      <c r="C58" t="s">
        <v>103</v>
      </c>
      <c r="D58" t="s">
        <v>487</v>
      </c>
      <c r="E58" t="s">
        <v>430</v>
      </c>
      <c r="F58" t="s">
        <v>426</v>
      </c>
      <c r="G58" t="s">
        <v>481</v>
      </c>
      <c r="H58" t="s">
        <v>426</v>
      </c>
      <c r="I58" t="s">
        <v>426</v>
      </c>
      <c r="J58" t="s">
        <v>426</v>
      </c>
      <c r="K58" t="s">
        <v>426</v>
      </c>
    </row>
    <row r="59" spans="1:11" x14ac:dyDescent="0.25">
      <c r="A59" t="s">
        <v>239</v>
      </c>
      <c r="B59" t="s">
        <v>105</v>
      </c>
      <c r="C59" t="s">
        <v>507</v>
      </c>
      <c r="D59" t="s">
        <v>485</v>
      </c>
      <c r="E59" t="s">
        <v>451</v>
      </c>
      <c r="F59" t="s">
        <v>430</v>
      </c>
      <c r="G59" t="s">
        <v>471</v>
      </c>
      <c r="H59" t="s">
        <v>426</v>
      </c>
      <c r="I59" t="s">
        <v>426</v>
      </c>
      <c r="J59" t="s">
        <v>426</v>
      </c>
      <c r="K59" t="s">
        <v>426</v>
      </c>
    </row>
    <row r="60" spans="1:11" x14ac:dyDescent="0.25">
      <c r="A60" t="s">
        <v>239</v>
      </c>
      <c r="B60" t="s">
        <v>111</v>
      </c>
      <c r="C60" t="s">
        <v>487</v>
      </c>
      <c r="D60" t="s">
        <v>488</v>
      </c>
      <c r="E60" t="s">
        <v>439</v>
      </c>
      <c r="F60" t="s">
        <v>439</v>
      </c>
      <c r="G60" t="s">
        <v>464</v>
      </c>
      <c r="H60" t="s">
        <v>426</v>
      </c>
      <c r="I60" t="s">
        <v>426</v>
      </c>
      <c r="J60" t="s">
        <v>426</v>
      </c>
      <c r="K60" t="s">
        <v>426</v>
      </c>
    </row>
    <row r="61" spans="1:11" x14ac:dyDescent="0.25">
      <c r="A61" t="s">
        <v>240</v>
      </c>
      <c r="B61" t="s">
        <v>59</v>
      </c>
      <c r="C61" t="s">
        <v>508</v>
      </c>
      <c r="D61" t="s">
        <v>438</v>
      </c>
      <c r="E61" t="s">
        <v>434</v>
      </c>
      <c r="F61" t="s">
        <v>432</v>
      </c>
      <c r="G61" t="s">
        <v>442</v>
      </c>
      <c r="H61" t="s">
        <v>426</v>
      </c>
      <c r="I61" t="s">
        <v>426</v>
      </c>
      <c r="J61" t="s">
        <v>426</v>
      </c>
      <c r="K61" t="s">
        <v>426</v>
      </c>
    </row>
    <row r="62" spans="1:11" x14ac:dyDescent="0.25">
      <c r="A62" t="s">
        <v>240</v>
      </c>
      <c r="B62" t="s">
        <v>37</v>
      </c>
      <c r="C62" t="s">
        <v>426</v>
      </c>
      <c r="D62" t="s">
        <v>426</v>
      </c>
      <c r="E62" t="s">
        <v>426</v>
      </c>
      <c r="F62" t="s">
        <v>426</v>
      </c>
      <c r="G62" t="s">
        <v>426</v>
      </c>
      <c r="H62" t="s">
        <v>432</v>
      </c>
      <c r="I62" t="s">
        <v>93</v>
      </c>
      <c r="J62" t="s">
        <v>430</v>
      </c>
      <c r="K62" t="s">
        <v>473</v>
      </c>
    </row>
    <row r="63" spans="1:11" x14ac:dyDescent="0.25">
      <c r="A63" t="s">
        <v>241</v>
      </c>
      <c r="B63" t="s">
        <v>56</v>
      </c>
      <c r="C63" t="s">
        <v>485</v>
      </c>
      <c r="D63" t="s">
        <v>500</v>
      </c>
      <c r="E63" t="s">
        <v>424</v>
      </c>
      <c r="F63" t="s">
        <v>424</v>
      </c>
      <c r="G63" t="s">
        <v>459</v>
      </c>
      <c r="H63" t="s">
        <v>426</v>
      </c>
      <c r="I63" t="s">
        <v>426</v>
      </c>
      <c r="J63" t="s">
        <v>426</v>
      </c>
      <c r="K63" t="s">
        <v>426</v>
      </c>
    </row>
    <row r="64" spans="1:11" x14ac:dyDescent="0.25">
      <c r="A64" t="s">
        <v>241</v>
      </c>
      <c r="B64" t="s">
        <v>8</v>
      </c>
      <c r="C64" t="s">
        <v>445</v>
      </c>
      <c r="D64" t="s">
        <v>446</v>
      </c>
      <c r="E64" t="s">
        <v>423</v>
      </c>
      <c r="F64" t="s">
        <v>430</v>
      </c>
      <c r="G64" t="s">
        <v>447</v>
      </c>
      <c r="H64" t="s">
        <v>426</v>
      </c>
      <c r="I64" t="s">
        <v>426</v>
      </c>
      <c r="J64" t="s">
        <v>426</v>
      </c>
      <c r="K64" t="s">
        <v>426</v>
      </c>
    </row>
    <row r="65" spans="1:11" x14ac:dyDescent="0.25">
      <c r="A65" t="s">
        <v>242</v>
      </c>
      <c r="B65" t="s">
        <v>81</v>
      </c>
      <c r="C65" t="s">
        <v>426</v>
      </c>
      <c r="D65" t="s">
        <v>426</v>
      </c>
      <c r="E65" t="s">
        <v>426</v>
      </c>
      <c r="F65" t="s">
        <v>426</v>
      </c>
      <c r="G65" t="s">
        <v>426</v>
      </c>
      <c r="H65" t="s">
        <v>432</v>
      </c>
      <c r="I65" t="s">
        <v>103</v>
      </c>
      <c r="J65" t="s">
        <v>430</v>
      </c>
      <c r="K65" t="s">
        <v>456</v>
      </c>
    </row>
    <row r="66" spans="1:11" x14ac:dyDescent="0.25">
      <c r="A66" t="s">
        <v>242</v>
      </c>
      <c r="B66" t="s">
        <v>89</v>
      </c>
      <c r="C66" t="s">
        <v>426</v>
      </c>
      <c r="D66" t="s">
        <v>426</v>
      </c>
      <c r="E66" t="s">
        <v>426</v>
      </c>
      <c r="F66" t="s">
        <v>426</v>
      </c>
      <c r="G66" t="s">
        <v>426</v>
      </c>
      <c r="H66" t="s">
        <v>432</v>
      </c>
      <c r="I66" t="s">
        <v>77</v>
      </c>
      <c r="J66" t="s">
        <v>439</v>
      </c>
      <c r="K66" t="s">
        <v>444</v>
      </c>
    </row>
    <row r="67" spans="1:11" x14ac:dyDescent="0.25">
      <c r="A67" t="s">
        <v>243</v>
      </c>
      <c r="B67" t="s">
        <v>107</v>
      </c>
      <c r="C67" t="s">
        <v>426</v>
      </c>
      <c r="D67" t="s">
        <v>426</v>
      </c>
      <c r="E67" t="s">
        <v>426</v>
      </c>
      <c r="F67" t="s">
        <v>426</v>
      </c>
      <c r="G67" t="s">
        <v>426</v>
      </c>
      <c r="H67" t="s">
        <v>432</v>
      </c>
      <c r="I67" t="s">
        <v>487</v>
      </c>
      <c r="J67" t="s">
        <v>424</v>
      </c>
      <c r="K67" t="s">
        <v>429</v>
      </c>
    </row>
    <row r="68" spans="1:11" x14ac:dyDescent="0.25">
      <c r="A68" t="s">
        <v>243</v>
      </c>
      <c r="B68" t="s">
        <v>34</v>
      </c>
      <c r="C68" t="s">
        <v>487</v>
      </c>
      <c r="D68" t="s">
        <v>488</v>
      </c>
      <c r="E68" t="s">
        <v>439</v>
      </c>
      <c r="F68" t="s">
        <v>439</v>
      </c>
      <c r="G68" t="s">
        <v>464</v>
      </c>
      <c r="H68" t="s">
        <v>426</v>
      </c>
      <c r="I68" t="s">
        <v>426</v>
      </c>
      <c r="J68" t="s">
        <v>426</v>
      </c>
      <c r="K68" t="s">
        <v>426</v>
      </c>
    </row>
    <row r="69" spans="1:11" x14ac:dyDescent="0.25">
      <c r="A69" t="s">
        <v>244</v>
      </c>
      <c r="B69" t="s">
        <v>63</v>
      </c>
      <c r="C69" t="s">
        <v>497</v>
      </c>
      <c r="D69" t="s">
        <v>474</v>
      </c>
      <c r="E69" t="s">
        <v>451</v>
      </c>
      <c r="F69" t="s">
        <v>429</v>
      </c>
      <c r="G69" t="s">
        <v>509</v>
      </c>
      <c r="H69" t="s">
        <v>432</v>
      </c>
      <c r="I69" t="s">
        <v>93</v>
      </c>
      <c r="J69" t="s">
        <v>439</v>
      </c>
      <c r="K69" t="s">
        <v>473</v>
      </c>
    </row>
    <row r="70" spans="1:11" x14ac:dyDescent="0.25">
      <c r="A70" t="s">
        <v>244</v>
      </c>
      <c r="B70" t="s">
        <v>71</v>
      </c>
      <c r="C70" t="s">
        <v>482</v>
      </c>
      <c r="D70" t="s">
        <v>93</v>
      </c>
      <c r="E70" t="s">
        <v>429</v>
      </c>
      <c r="F70" t="s">
        <v>430</v>
      </c>
      <c r="G70" t="s">
        <v>510</v>
      </c>
      <c r="H70" t="s">
        <v>426</v>
      </c>
      <c r="I70" t="s">
        <v>426</v>
      </c>
      <c r="J70" t="s">
        <v>426</v>
      </c>
      <c r="K70" t="s">
        <v>426</v>
      </c>
    </row>
    <row r="71" spans="1:11" x14ac:dyDescent="0.25">
      <c r="A71" t="s">
        <v>245</v>
      </c>
      <c r="B71" t="s">
        <v>117</v>
      </c>
      <c r="C71" t="s">
        <v>511</v>
      </c>
      <c r="D71" t="s">
        <v>477</v>
      </c>
      <c r="E71" t="s">
        <v>436</v>
      </c>
      <c r="F71" t="s">
        <v>423</v>
      </c>
      <c r="G71" t="s">
        <v>480</v>
      </c>
      <c r="H71" t="s">
        <v>426</v>
      </c>
      <c r="I71" t="s">
        <v>426</v>
      </c>
      <c r="J71" t="s">
        <v>426</v>
      </c>
      <c r="K71" t="s">
        <v>426</v>
      </c>
    </row>
    <row r="72" spans="1:11" x14ac:dyDescent="0.25">
      <c r="A72" t="s">
        <v>245</v>
      </c>
      <c r="B72" t="s">
        <v>51</v>
      </c>
      <c r="C72" t="s">
        <v>426</v>
      </c>
      <c r="D72" t="s">
        <v>426</v>
      </c>
      <c r="E72" t="s">
        <v>426</v>
      </c>
      <c r="F72" t="s">
        <v>426</v>
      </c>
      <c r="G72" t="s">
        <v>426</v>
      </c>
      <c r="H72" t="s">
        <v>432</v>
      </c>
      <c r="I72" t="s">
        <v>438</v>
      </c>
      <c r="J72" t="s">
        <v>439</v>
      </c>
      <c r="K72" t="s">
        <v>512</v>
      </c>
    </row>
    <row r="73" spans="1:11" x14ac:dyDescent="0.25">
      <c r="A73" t="s">
        <v>246</v>
      </c>
      <c r="B73" t="s">
        <v>31</v>
      </c>
      <c r="C73" t="s">
        <v>77</v>
      </c>
      <c r="D73" t="s">
        <v>487</v>
      </c>
      <c r="E73" t="s">
        <v>430</v>
      </c>
      <c r="F73" t="s">
        <v>430</v>
      </c>
      <c r="G73" t="s">
        <v>475</v>
      </c>
      <c r="H73" t="s">
        <v>432</v>
      </c>
      <c r="I73" t="s">
        <v>103</v>
      </c>
      <c r="J73" t="s">
        <v>430</v>
      </c>
      <c r="K73" t="s">
        <v>456</v>
      </c>
    </row>
    <row r="74" spans="1:11" x14ac:dyDescent="0.25">
      <c r="A74" t="s">
        <v>246</v>
      </c>
      <c r="B74" t="s">
        <v>101</v>
      </c>
      <c r="C74" t="s">
        <v>426</v>
      </c>
      <c r="D74" t="s">
        <v>426</v>
      </c>
      <c r="E74" t="s">
        <v>426</v>
      </c>
      <c r="F74" t="s">
        <v>426</v>
      </c>
      <c r="G74" t="s">
        <v>426</v>
      </c>
      <c r="H74" t="s">
        <v>432</v>
      </c>
      <c r="I74" t="s">
        <v>74</v>
      </c>
      <c r="J74" t="s">
        <v>439</v>
      </c>
      <c r="K74" t="s">
        <v>443</v>
      </c>
    </row>
    <row r="75" spans="1:11" x14ac:dyDescent="0.25">
      <c r="A75" t="s">
        <v>247</v>
      </c>
      <c r="B75" t="s">
        <v>91</v>
      </c>
      <c r="C75" t="s">
        <v>426</v>
      </c>
      <c r="D75" t="s">
        <v>426</v>
      </c>
      <c r="E75" t="s">
        <v>426</v>
      </c>
      <c r="F75" t="s">
        <v>426</v>
      </c>
      <c r="G75" t="s">
        <v>426</v>
      </c>
      <c r="H75" t="s">
        <v>462</v>
      </c>
      <c r="I75" t="s">
        <v>441</v>
      </c>
      <c r="J75" t="s">
        <v>432</v>
      </c>
      <c r="K75" t="s">
        <v>513</v>
      </c>
    </row>
    <row r="76" spans="1:11" x14ac:dyDescent="0.25">
      <c r="A76" t="s">
        <v>247</v>
      </c>
      <c r="B76" t="s">
        <v>119</v>
      </c>
      <c r="C76" t="s">
        <v>93</v>
      </c>
      <c r="D76" t="s">
        <v>433</v>
      </c>
      <c r="E76" t="s">
        <v>424</v>
      </c>
      <c r="F76" t="s">
        <v>439</v>
      </c>
      <c r="G76" t="s">
        <v>481</v>
      </c>
      <c r="H76" t="s">
        <v>426</v>
      </c>
      <c r="I76" t="s">
        <v>426</v>
      </c>
      <c r="J76" t="s">
        <v>426</v>
      </c>
      <c r="K76" t="s">
        <v>426</v>
      </c>
    </row>
    <row r="77" spans="1:11" x14ac:dyDescent="0.25">
      <c r="A77" t="s">
        <v>248</v>
      </c>
      <c r="B77" t="s">
        <v>37</v>
      </c>
      <c r="C77" t="s">
        <v>426</v>
      </c>
      <c r="D77" t="s">
        <v>426</v>
      </c>
      <c r="E77" t="s">
        <v>426</v>
      </c>
      <c r="F77" t="s">
        <v>426</v>
      </c>
      <c r="G77" t="s">
        <v>426</v>
      </c>
      <c r="H77" t="s">
        <v>432</v>
      </c>
      <c r="I77" t="s">
        <v>30</v>
      </c>
      <c r="J77" t="s">
        <v>430</v>
      </c>
      <c r="K77" t="s">
        <v>455</v>
      </c>
    </row>
    <row r="78" spans="1:11" x14ac:dyDescent="0.25">
      <c r="A78" t="s">
        <v>248</v>
      </c>
      <c r="B78" t="s">
        <v>79</v>
      </c>
      <c r="C78" t="s">
        <v>438</v>
      </c>
      <c r="D78" t="s">
        <v>77</v>
      </c>
      <c r="E78" t="s">
        <v>432</v>
      </c>
      <c r="F78" t="s">
        <v>430</v>
      </c>
      <c r="G78" t="s">
        <v>475</v>
      </c>
      <c r="H78" t="s">
        <v>426</v>
      </c>
      <c r="I78" t="s">
        <v>426</v>
      </c>
      <c r="J78" t="s">
        <v>426</v>
      </c>
      <c r="K78" t="s">
        <v>426</v>
      </c>
    </row>
    <row r="79" spans="1:11" x14ac:dyDescent="0.25">
      <c r="A79" t="s">
        <v>249</v>
      </c>
      <c r="B79" t="s">
        <v>47</v>
      </c>
      <c r="C79" t="s">
        <v>514</v>
      </c>
      <c r="D79" t="s">
        <v>477</v>
      </c>
      <c r="E79" t="s">
        <v>467</v>
      </c>
      <c r="F79" t="s">
        <v>434</v>
      </c>
      <c r="G79" t="s">
        <v>459</v>
      </c>
      <c r="H79" t="s">
        <v>426</v>
      </c>
      <c r="I79" t="s">
        <v>426</v>
      </c>
      <c r="J79" t="s">
        <v>426</v>
      </c>
      <c r="K79" t="s">
        <v>426</v>
      </c>
    </row>
    <row r="80" spans="1:11" x14ac:dyDescent="0.25">
      <c r="A80" t="s">
        <v>249</v>
      </c>
      <c r="B80" t="s">
        <v>66</v>
      </c>
      <c r="C80" t="s">
        <v>436</v>
      </c>
      <c r="D80" t="s">
        <v>451</v>
      </c>
      <c r="E80" t="s">
        <v>426</v>
      </c>
      <c r="F80" t="s">
        <v>439</v>
      </c>
      <c r="G80" t="s">
        <v>481</v>
      </c>
      <c r="H80" t="s">
        <v>432</v>
      </c>
      <c r="I80" t="s">
        <v>77</v>
      </c>
      <c r="J80" t="s">
        <v>439</v>
      </c>
      <c r="K80" t="s">
        <v>444</v>
      </c>
    </row>
    <row r="81" spans="1:11" x14ac:dyDescent="0.25">
      <c r="A81" t="s">
        <v>250</v>
      </c>
      <c r="B81" t="s">
        <v>95</v>
      </c>
      <c r="C81" t="s">
        <v>508</v>
      </c>
      <c r="D81" t="s">
        <v>482</v>
      </c>
      <c r="E81" t="s">
        <v>479</v>
      </c>
      <c r="F81" t="s">
        <v>430</v>
      </c>
      <c r="G81" t="s">
        <v>515</v>
      </c>
      <c r="H81" t="s">
        <v>426</v>
      </c>
      <c r="I81" t="s">
        <v>426</v>
      </c>
      <c r="J81" t="s">
        <v>426</v>
      </c>
      <c r="K81" t="s">
        <v>426</v>
      </c>
    </row>
    <row r="82" spans="1:11" x14ac:dyDescent="0.25">
      <c r="A82" t="s">
        <v>250</v>
      </c>
      <c r="B82" t="s">
        <v>107</v>
      </c>
      <c r="C82" t="s">
        <v>426</v>
      </c>
      <c r="D82" t="s">
        <v>426</v>
      </c>
      <c r="E82" t="s">
        <v>426</v>
      </c>
      <c r="F82" t="s">
        <v>426</v>
      </c>
      <c r="G82" t="s">
        <v>426</v>
      </c>
      <c r="H82" t="s">
        <v>432</v>
      </c>
      <c r="I82" t="s">
        <v>438</v>
      </c>
      <c r="J82" t="s">
        <v>426</v>
      </c>
      <c r="K82" t="s">
        <v>512</v>
      </c>
    </row>
    <row r="83" spans="1:11" x14ac:dyDescent="0.25">
      <c r="A83" t="s">
        <v>251</v>
      </c>
      <c r="B83" t="s">
        <v>111</v>
      </c>
      <c r="C83" t="s">
        <v>507</v>
      </c>
      <c r="D83" t="s">
        <v>446</v>
      </c>
      <c r="E83" t="s">
        <v>434</v>
      </c>
      <c r="F83" t="s">
        <v>424</v>
      </c>
      <c r="G83" t="s">
        <v>478</v>
      </c>
      <c r="H83" t="s">
        <v>426</v>
      </c>
      <c r="I83" t="s">
        <v>426</v>
      </c>
      <c r="J83" t="s">
        <v>426</v>
      </c>
      <c r="K83" t="s">
        <v>426</v>
      </c>
    </row>
    <row r="84" spans="1:11" x14ac:dyDescent="0.25">
      <c r="A84" t="s">
        <v>251</v>
      </c>
      <c r="B84" t="s">
        <v>16</v>
      </c>
      <c r="C84" t="s">
        <v>426</v>
      </c>
      <c r="D84" t="s">
        <v>426</v>
      </c>
      <c r="E84" t="s">
        <v>426</v>
      </c>
      <c r="F84" t="s">
        <v>426</v>
      </c>
      <c r="G84" t="s">
        <v>426</v>
      </c>
      <c r="H84" t="s">
        <v>432</v>
      </c>
      <c r="I84" t="s">
        <v>110</v>
      </c>
      <c r="J84" t="s">
        <v>430</v>
      </c>
      <c r="K84" t="s">
        <v>516</v>
      </c>
    </row>
    <row r="85" spans="1:11" x14ac:dyDescent="0.25">
      <c r="A85" t="s">
        <v>252</v>
      </c>
      <c r="B85" t="s">
        <v>71</v>
      </c>
      <c r="C85" t="s">
        <v>497</v>
      </c>
      <c r="D85" t="s">
        <v>428</v>
      </c>
      <c r="E85" t="s">
        <v>479</v>
      </c>
      <c r="F85" t="s">
        <v>432</v>
      </c>
      <c r="G85" t="s">
        <v>454</v>
      </c>
      <c r="H85" t="s">
        <v>426</v>
      </c>
      <c r="I85" t="s">
        <v>426</v>
      </c>
      <c r="J85" t="s">
        <v>426</v>
      </c>
      <c r="K85" t="s">
        <v>426</v>
      </c>
    </row>
    <row r="86" spans="1:11" x14ac:dyDescent="0.25">
      <c r="A86" t="s">
        <v>252</v>
      </c>
      <c r="B86" t="s">
        <v>41</v>
      </c>
      <c r="C86" t="s">
        <v>77</v>
      </c>
      <c r="D86" t="s">
        <v>487</v>
      </c>
      <c r="E86" t="s">
        <v>430</v>
      </c>
      <c r="F86" t="s">
        <v>430</v>
      </c>
      <c r="G86" t="s">
        <v>475</v>
      </c>
      <c r="H86" t="s">
        <v>426</v>
      </c>
      <c r="I86" t="s">
        <v>426</v>
      </c>
      <c r="J86" t="s">
        <v>426</v>
      </c>
      <c r="K86" t="s">
        <v>426</v>
      </c>
    </row>
    <row r="87" spans="1:11" x14ac:dyDescent="0.25">
      <c r="A87" t="s">
        <v>253</v>
      </c>
      <c r="B87" t="s">
        <v>51</v>
      </c>
      <c r="C87" t="s">
        <v>426</v>
      </c>
      <c r="D87" t="s">
        <v>426</v>
      </c>
      <c r="E87" t="s">
        <v>426</v>
      </c>
      <c r="F87" t="s">
        <v>426</v>
      </c>
      <c r="G87" t="s">
        <v>426</v>
      </c>
      <c r="H87" t="s">
        <v>432</v>
      </c>
      <c r="I87" t="s">
        <v>103</v>
      </c>
      <c r="J87" t="s">
        <v>424</v>
      </c>
      <c r="K87" t="s">
        <v>456</v>
      </c>
    </row>
    <row r="88" spans="1:11" x14ac:dyDescent="0.25">
      <c r="A88" t="s">
        <v>253</v>
      </c>
      <c r="B88" t="s">
        <v>21</v>
      </c>
      <c r="C88" t="s">
        <v>429</v>
      </c>
      <c r="D88" t="s">
        <v>436</v>
      </c>
      <c r="E88" t="s">
        <v>426</v>
      </c>
      <c r="F88" t="s">
        <v>426</v>
      </c>
      <c r="G88" t="s">
        <v>428</v>
      </c>
      <c r="H88" t="s">
        <v>426</v>
      </c>
      <c r="I88" t="s">
        <v>426</v>
      </c>
      <c r="J88" t="s">
        <v>426</v>
      </c>
      <c r="K88" t="s">
        <v>426</v>
      </c>
    </row>
    <row r="89" spans="1:11" x14ac:dyDescent="0.25">
      <c r="A89" t="s">
        <v>254</v>
      </c>
      <c r="B89" t="s">
        <v>59</v>
      </c>
      <c r="C89" t="s">
        <v>476</v>
      </c>
      <c r="D89" t="s">
        <v>482</v>
      </c>
      <c r="E89" t="s">
        <v>436</v>
      </c>
      <c r="F89" t="s">
        <v>429</v>
      </c>
      <c r="G89" t="s">
        <v>517</v>
      </c>
      <c r="H89" t="s">
        <v>426</v>
      </c>
      <c r="I89" t="s">
        <v>426</v>
      </c>
      <c r="J89" t="s">
        <v>426</v>
      </c>
      <c r="K89" t="s">
        <v>426</v>
      </c>
    </row>
    <row r="90" spans="1:11" x14ac:dyDescent="0.25">
      <c r="A90" t="s">
        <v>254</v>
      </c>
      <c r="B90" t="s">
        <v>89</v>
      </c>
      <c r="C90" t="s">
        <v>426</v>
      </c>
      <c r="D90" t="s">
        <v>426</v>
      </c>
      <c r="E90" t="s">
        <v>426</v>
      </c>
      <c r="F90" t="s">
        <v>426</v>
      </c>
      <c r="G90" t="s">
        <v>426</v>
      </c>
      <c r="H90" t="s">
        <v>432</v>
      </c>
      <c r="I90" t="s">
        <v>446</v>
      </c>
      <c r="J90" t="s">
        <v>439</v>
      </c>
      <c r="K90" t="s">
        <v>436</v>
      </c>
    </row>
    <row r="91" spans="1:11" x14ac:dyDescent="0.25">
      <c r="A91" t="s">
        <v>255</v>
      </c>
      <c r="B91" t="s">
        <v>119</v>
      </c>
      <c r="C91" t="s">
        <v>435</v>
      </c>
      <c r="D91" t="s">
        <v>422</v>
      </c>
      <c r="E91" t="s">
        <v>436</v>
      </c>
      <c r="F91" t="s">
        <v>432</v>
      </c>
      <c r="G91" t="s">
        <v>437</v>
      </c>
      <c r="H91" t="s">
        <v>426</v>
      </c>
      <c r="I91" t="s">
        <v>426</v>
      </c>
      <c r="J91" t="s">
        <v>426</v>
      </c>
      <c r="K91" t="s">
        <v>426</v>
      </c>
    </row>
    <row r="92" spans="1:11" x14ac:dyDescent="0.25">
      <c r="A92" t="s">
        <v>255</v>
      </c>
      <c r="B92" t="s">
        <v>71</v>
      </c>
      <c r="C92" t="s">
        <v>438</v>
      </c>
      <c r="D92" t="s">
        <v>93</v>
      </c>
      <c r="E92" t="s">
        <v>432</v>
      </c>
      <c r="F92" t="s">
        <v>439</v>
      </c>
      <c r="G92" t="s">
        <v>440</v>
      </c>
      <c r="H92" t="s">
        <v>426</v>
      </c>
      <c r="I92" t="s">
        <v>426</v>
      </c>
      <c r="J92" t="s">
        <v>426</v>
      </c>
      <c r="K92" t="s">
        <v>426</v>
      </c>
    </row>
    <row r="93" spans="1:11" x14ac:dyDescent="0.25">
      <c r="A93" t="s">
        <v>256</v>
      </c>
      <c r="B93" t="s">
        <v>34</v>
      </c>
      <c r="C93" t="s">
        <v>422</v>
      </c>
      <c r="D93" t="s">
        <v>39</v>
      </c>
      <c r="E93" t="s">
        <v>423</v>
      </c>
      <c r="F93" t="s">
        <v>424</v>
      </c>
      <c r="G93" t="s">
        <v>425</v>
      </c>
      <c r="H93" t="s">
        <v>426</v>
      </c>
      <c r="I93" t="s">
        <v>426</v>
      </c>
      <c r="J93" t="s">
        <v>426</v>
      </c>
      <c r="K93" t="s">
        <v>426</v>
      </c>
    </row>
    <row r="94" spans="1:11" x14ac:dyDescent="0.25">
      <c r="A94" t="s">
        <v>256</v>
      </c>
      <c r="B94" t="s">
        <v>84</v>
      </c>
      <c r="C94" t="s">
        <v>446</v>
      </c>
      <c r="D94" t="s">
        <v>433</v>
      </c>
      <c r="E94" t="s">
        <v>424</v>
      </c>
      <c r="F94" t="s">
        <v>439</v>
      </c>
      <c r="G94" t="s">
        <v>499</v>
      </c>
      <c r="H94" t="s">
        <v>426</v>
      </c>
      <c r="I94" t="s">
        <v>426</v>
      </c>
      <c r="J94" t="s">
        <v>426</v>
      </c>
      <c r="K94" t="s">
        <v>426</v>
      </c>
    </row>
    <row r="95" spans="1:11" x14ac:dyDescent="0.25">
      <c r="A95" t="s">
        <v>257</v>
      </c>
      <c r="B95" t="s">
        <v>63</v>
      </c>
      <c r="C95" t="s">
        <v>88</v>
      </c>
      <c r="D95" t="s">
        <v>441</v>
      </c>
      <c r="E95" t="s">
        <v>430</v>
      </c>
      <c r="F95" t="s">
        <v>424</v>
      </c>
      <c r="G95" t="s">
        <v>442</v>
      </c>
      <c r="H95" t="s">
        <v>432</v>
      </c>
      <c r="I95" t="s">
        <v>74</v>
      </c>
      <c r="J95" t="s">
        <v>424</v>
      </c>
      <c r="K95" t="s">
        <v>443</v>
      </c>
    </row>
    <row r="96" spans="1:11" x14ac:dyDescent="0.25">
      <c r="A96" t="s">
        <v>257</v>
      </c>
      <c r="B96" t="s">
        <v>101</v>
      </c>
      <c r="C96" t="s">
        <v>426</v>
      </c>
      <c r="D96" t="s">
        <v>426</v>
      </c>
      <c r="E96" t="s">
        <v>426</v>
      </c>
      <c r="F96" t="s">
        <v>426</v>
      </c>
      <c r="G96" t="s">
        <v>426</v>
      </c>
      <c r="H96" t="s">
        <v>432</v>
      </c>
      <c r="I96" t="s">
        <v>77</v>
      </c>
      <c r="J96" t="s">
        <v>430</v>
      </c>
      <c r="K96" t="s">
        <v>444</v>
      </c>
    </row>
    <row r="97" spans="1:11" x14ac:dyDescent="0.25">
      <c r="A97" t="s">
        <v>258</v>
      </c>
      <c r="B97" t="s">
        <v>84</v>
      </c>
      <c r="C97" t="s">
        <v>445</v>
      </c>
      <c r="D97" t="s">
        <v>446</v>
      </c>
      <c r="E97" t="s">
        <v>434</v>
      </c>
      <c r="F97" t="s">
        <v>430</v>
      </c>
      <c r="G97" t="s">
        <v>447</v>
      </c>
      <c r="H97" t="s">
        <v>426</v>
      </c>
      <c r="I97" t="s">
        <v>426</v>
      </c>
      <c r="J97" t="s">
        <v>426</v>
      </c>
      <c r="K97" t="s">
        <v>426</v>
      </c>
    </row>
    <row r="98" spans="1:11" x14ac:dyDescent="0.25">
      <c r="A98" t="s">
        <v>258</v>
      </c>
      <c r="B98" t="s">
        <v>16</v>
      </c>
      <c r="C98" t="s">
        <v>426</v>
      </c>
      <c r="D98" t="s">
        <v>426</v>
      </c>
      <c r="E98" t="s">
        <v>426</v>
      </c>
      <c r="F98" t="s">
        <v>426</v>
      </c>
      <c r="G98" t="s">
        <v>426</v>
      </c>
      <c r="H98" t="s">
        <v>448</v>
      </c>
      <c r="I98" t="s">
        <v>103</v>
      </c>
      <c r="J98" t="s">
        <v>424</v>
      </c>
      <c r="K98" t="s">
        <v>444</v>
      </c>
    </row>
    <row r="99" spans="1:11" x14ac:dyDescent="0.25">
      <c r="A99" t="s">
        <v>259</v>
      </c>
      <c r="B99" t="s">
        <v>95</v>
      </c>
      <c r="C99" t="s">
        <v>449</v>
      </c>
      <c r="D99" t="s">
        <v>450</v>
      </c>
      <c r="E99" t="s">
        <v>451</v>
      </c>
      <c r="F99" t="s">
        <v>424</v>
      </c>
      <c r="G99" t="s">
        <v>452</v>
      </c>
      <c r="H99" t="s">
        <v>426</v>
      </c>
      <c r="I99" t="s">
        <v>426</v>
      </c>
      <c r="J99" t="s">
        <v>426</v>
      </c>
      <c r="K99" t="s">
        <v>426</v>
      </c>
    </row>
    <row r="100" spans="1:11" x14ac:dyDescent="0.25">
      <c r="A100" t="s">
        <v>259</v>
      </c>
      <c r="B100" t="s">
        <v>47</v>
      </c>
      <c r="C100" t="s">
        <v>429</v>
      </c>
      <c r="D100" t="s">
        <v>434</v>
      </c>
      <c r="E100" t="s">
        <v>426</v>
      </c>
      <c r="F100" t="s">
        <v>426</v>
      </c>
      <c r="G100" t="s">
        <v>453</v>
      </c>
      <c r="H100" t="s">
        <v>426</v>
      </c>
      <c r="I100" t="s">
        <v>426</v>
      </c>
      <c r="J100" t="s">
        <v>426</v>
      </c>
      <c r="K100" t="s">
        <v>426</v>
      </c>
    </row>
    <row r="101" spans="1:11" x14ac:dyDescent="0.25">
      <c r="A101" t="s">
        <v>260</v>
      </c>
      <c r="B101" t="s">
        <v>66</v>
      </c>
      <c r="C101" t="s">
        <v>441</v>
      </c>
      <c r="D101" t="s">
        <v>436</v>
      </c>
      <c r="E101" t="s">
        <v>439</v>
      </c>
      <c r="F101" t="s">
        <v>439</v>
      </c>
      <c r="G101" t="s">
        <v>454</v>
      </c>
      <c r="H101" t="s">
        <v>432</v>
      </c>
      <c r="I101" t="s">
        <v>30</v>
      </c>
      <c r="J101" t="s">
        <v>430</v>
      </c>
      <c r="K101" t="s">
        <v>455</v>
      </c>
    </row>
    <row r="102" spans="1:11" x14ac:dyDescent="0.25">
      <c r="A102" t="s">
        <v>260</v>
      </c>
      <c r="B102" t="s">
        <v>81</v>
      </c>
      <c r="C102" t="s">
        <v>426</v>
      </c>
      <c r="D102" t="s">
        <v>426</v>
      </c>
      <c r="E102" t="s">
        <v>426</v>
      </c>
      <c r="F102" t="s">
        <v>426</v>
      </c>
      <c r="G102" t="s">
        <v>426</v>
      </c>
      <c r="H102" t="s">
        <v>432</v>
      </c>
      <c r="I102" t="s">
        <v>103</v>
      </c>
      <c r="J102" t="s">
        <v>439</v>
      </c>
      <c r="K102" t="s">
        <v>456</v>
      </c>
    </row>
    <row r="103" spans="1:11" x14ac:dyDescent="0.25">
      <c r="A103" t="s">
        <v>261</v>
      </c>
      <c r="B103" t="s">
        <v>37</v>
      </c>
      <c r="C103" t="s">
        <v>426</v>
      </c>
      <c r="D103" t="s">
        <v>426</v>
      </c>
      <c r="E103" t="s">
        <v>426</v>
      </c>
      <c r="F103" t="s">
        <v>426</v>
      </c>
      <c r="G103" t="s">
        <v>426</v>
      </c>
      <c r="H103" t="s">
        <v>432</v>
      </c>
      <c r="I103" t="s">
        <v>114</v>
      </c>
      <c r="J103" t="s">
        <v>424</v>
      </c>
      <c r="K103" t="s">
        <v>423</v>
      </c>
    </row>
    <row r="104" spans="1:11" x14ac:dyDescent="0.25">
      <c r="A104" t="s">
        <v>261</v>
      </c>
      <c r="B104" t="s">
        <v>31</v>
      </c>
      <c r="C104" t="s">
        <v>93</v>
      </c>
      <c r="D104" t="s">
        <v>103</v>
      </c>
      <c r="E104" t="s">
        <v>430</v>
      </c>
      <c r="F104" t="s">
        <v>430</v>
      </c>
      <c r="G104" t="s">
        <v>457</v>
      </c>
      <c r="H104" t="s">
        <v>426</v>
      </c>
      <c r="I104" t="s">
        <v>426</v>
      </c>
      <c r="J104" t="s">
        <v>426</v>
      </c>
      <c r="K104" t="s">
        <v>426</v>
      </c>
    </row>
    <row r="105" spans="1:11" x14ac:dyDescent="0.25">
      <c r="A105" t="s">
        <v>262</v>
      </c>
      <c r="B105" t="s">
        <v>117</v>
      </c>
      <c r="C105" t="s">
        <v>458</v>
      </c>
      <c r="D105" t="s">
        <v>433</v>
      </c>
      <c r="E105" t="s">
        <v>424</v>
      </c>
      <c r="F105" t="s">
        <v>429</v>
      </c>
      <c r="G105" t="s">
        <v>459</v>
      </c>
      <c r="H105" t="s">
        <v>426</v>
      </c>
      <c r="I105" t="s">
        <v>426</v>
      </c>
      <c r="J105" t="s">
        <v>426</v>
      </c>
      <c r="K105" t="s">
        <v>426</v>
      </c>
    </row>
    <row r="106" spans="1:11" x14ac:dyDescent="0.25">
      <c r="A106" t="s">
        <v>262</v>
      </c>
      <c r="B106" t="s">
        <v>59</v>
      </c>
      <c r="C106" t="s">
        <v>30</v>
      </c>
      <c r="D106" t="s">
        <v>460</v>
      </c>
      <c r="E106" t="s">
        <v>439</v>
      </c>
      <c r="F106" t="s">
        <v>426</v>
      </c>
      <c r="G106" t="s">
        <v>461</v>
      </c>
      <c r="H106" t="s">
        <v>426</v>
      </c>
      <c r="I106" t="s">
        <v>426</v>
      </c>
      <c r="J106" t="s">
        <v>426</v>
      </c>
      <c r="K106" t="s">
        <v>426</v>
      </c>
    </row>
    <row r="107" spans="1:11" x14ac:dyDescent="0.25">
      <c r="A107" t="s">
        <v>263</v>
      </c>
      <c r="B107" t="s">
        <v>68</v>
      </c>
      <c r="C107" t="s">
        <v>426</v>
      </c>
      <c r="D107" t="s">
        <v>426</v>
      </c>
      <c r="E107" t="s">
        <v>426</v>
      </c>
      <c r="F107" t="s">
        <v>426</v>
      </c>
      <c r="G107" t="s">
        <v>426</v>
      </c>
      <c r="H107" t="s">
        <v>462</v>
      </c>
      <c r="I107" t="s">
        <v>460</v>
      </c>
      <c r="J107" t="s">
        <v>432</v>
      </c>
      <c r="K107" t="s">
        <v>463</v>
      </c>
    </row>
    <row r="108" spans="1:11" x14ac:dyDescent="0.25">
      <c r="A108" t="s">
        <v>263</v>
      </c>
      <c r="B108" t="s">
        <v>47</v>
      </c>
      <c r="C108" t="s">
        <v>446</v>
      </c>
      <c r="D108" t="s">
        <v>77</v>
      </c>
      <c r="E108" t="s">
        <v>424</v>
      </c>
      <c r="F108" t="s">
        <v>439</v>
      </c>
      <c r="G108" t="s">
        <v>464</v>
      </c>
      <c r="H108" t="s">
        <v>426</v>
      </c>
      <c r="I108" t="s">
        <v>426</v>
      </c>
      <c r="J108" t="s">
        <v>426</v>
      </c>
      <c r="K108" t="s">
        <v>426</v>
      </c>
    </row>
    <row r="109" spans="1:11" x14ac:dyDescent="0.25">
      <c r="A109" t="s">
        <v>264</v>
      </c>
      <c r="B109" t="s">
        <v>75</v>
      </c>
      <c r="C109" t="s">
        <v>426</v>
      </c>
      <c r="D109" t="s">
        <v>426</v>
      </c>
      <c r="E109" t="s">
        <v>426</v>
      </c>
      <c r="F109" t="s">
        <v>426</v>
      </c>
      <c r="G109" t="s">
        <v>426</v>
      </c>
      <c r="H109" t="s">
        <v>432</v>
      </c>
      <c r="I109" t="s">
        <v>465</v>
      </c>
      <c r="J109" t="s">
        <v>430</v>
      </c>
      <c r="K109" t="s">
        <v>466</v>
      </c>
    </row>
    <row r="110" spans="1:11" x14ac:dyDescent="0.25">
      <c r="A110" t="s">
        <v>264</v>
      </c>
      <c r="B110" t="s">
        <v>105</v>
      </c>
      <c r="C110" t="s">
        <v>467</v>
      </c>
      <c r="D110" t="s">
        <v>468</v>
      </c>
      <c r="E110" t="s">
        <v>439</v>
      </c>
      <c r="F110" t="s">
        <v>426</v>
      </c>
      <c r="G110" t="s">
        <v>469</v>
      </c>
      <c r="H110" t="s">
        <v>426</v>
      </c>
      <c r="I110" t="s">
        <v>426</v>
      </c>
      <c r="J110" t="s">
        <v>426</v>
      </c>
      <c r="K110" t="s">
        <v>426</v>
      </c>
    </row>
    <row r="111" spans="1:11" x14ac:dyDescent="0.25">
      <c r="A111" t="s">
        <v>265</v>
      </c>
      <c r="B111" t="s">
        <v>98</v>
      </c>
      <c r="C111" t="s">
        <v>470</v>
      </c>
      <c r="D111" t="s">
        <v>438</v>
      </c>
      <c r="E111" t="s">
        <v>429</v>
      </c>
      <c r="F111" t="s">
        <v>432</v>
      </c>
      <c r="G111" t="s">
        <v>471</v>
      </c>
      <c r="H111" t="s">
        <v>426</v>
      </c>
      <c r="I111" t="s">
        <v>426</v>
      </c>
      <c r="J111" t="s">
        <v>426</v>
      </c>
      <c r="K111" t="s">
        <v>426</v>
      </c>
    </row>
    <row r="112" spans="1:11" x14ac:dyDescent="0.25">
      <c r="A112" t="s">
        <v>265</v>
      </c>
      <c r="B112" t="s">
        <v>51</v>
      </c>
      <c r="C112" t="s">
        <v>103</v>
      </c>
      <c r="D112" t="s">
        <v>441</v>
      </c>
      <c r="E112" t="s">
        <v>439</v>
      </c>
      <c r="F112" t="s">
        <v>439</v>
      </c>
      <c r="G112" t="s">
        <v>472</v>
      </c>
      <c r="H112" t="s">
        <v>432</v>
      </c>
      <c r="I112" t="s">
        <v>93</v>
      </c>
      <c r="J112" t="s">
        <v>439</v>
      </c>
      <c r="K112" t="s">
        <v>473</v>
      </c>
    </row>
    <row r="113" spans="1:11" x14ac:dyDescent="0.25">
      <c r="A113" t="s">
        <v>266</v>
      </c>
      <c r="B113" t="s">
        <v>41</v>
      </c>
      <c r="C113" t="s">
        <v>474</v>
      </c>
      <c r="D113" t="s">
        <v>39</v>
      </c>
      <c r="E113" t="s">
        <v>432</v>
      </c>
      <c r="F113" t="s">
        <v>439</v>
      </c>
      <c r="G113" t="s">
        <v>475</v>
      </c>
      <c r="H113" t="s">
        <v>426</v>
      </c>
      <c r="I113" t="s">
        <v>426</v>
      </c>
      <c r="J113" t="s">
        <v>426</v>
      </c>
      <c r="K113" t="s">
        <v>426</v>
      </c>
    </row>
    <row r="114" spans="1:11" x14ac:dyDescent="0.25">
      <c r="A114" t="s">
        <v>266</v>
      </c>
      <c r="B114" t="s">
        <v>16</v>
      </c>
      <c r="C114" t="s">
        <v>426</v>
      </c>
      <c r="D114" t="s">
        <v>426</v>
      </c>
      <c r="E114" t="s">
        <v>426</v>
      </c>
      <c r="F114" t="s">
        <v>426</v>
      </c>
      <c r="G114" t="s">
        <v>426</v>
      </c>
      <c r="H114" t="s">
        <v>432</v>
      </c>
      <c r="I114" t="s">
        <v>77</v>
      </c>
      <c r="J114" t="s">
        <v>430</v>
      </c>
      <c r="K114" t="s">
        <v>444</v>
      </c>
    </row>
    <row r="115" spans="1:11" x14ac:dyDescent="0.25">
      <c r="A115" t="s">
        <v>267</v>
      </c>
      <c r="B115" t="s">
        <v>47</v>
      </c>
      <c r="C115" t="s">
        <v>476</v>
      </c>
      <c r="D115" t="s">
        <v>477</v>
      </c>
      <c r="E115" t="s">
        <v>467</v>
      </c>
      <c r="F115" t="s">
        <v>424</v>
      </c>
      <c r="G115" t="s">
        <v>478</v>
      </c>
      <c r="H115" t="s">
        <v>426</v>
      </c>
      <c r="I115" t="s">
        <v>426</v>
      </c>
      <c r="J115" t="s">
        <v>426</v>
      </c>
      <c r="K115" t="s">
        <v>426</v>
      </c>
    </row>
    <row r="116" spans="1:11" x14ac:dyDescent="0.25">
      <c r="A116" t="s">
        <v>267</v>
      </c>
      <c r="B116" t="s">
        <v>79</v>
      </c>
      <c r="C116" t="s">
        <v>426</v>
      </c>
      <c r="D116" t="s">
        <v>426</v>
      </c>
      <c r="E116" t="s">
        <v>426</v>
      </c>
      <c r="F116" t="s">
        <v>426</v>
      </c>
      <c r="G116" t="s">
        <v>426</v>
      </c>
      <c r="H116" t="s">
        <v>432</v>
      </c>
      <c r="I116" t="s">
        <v>446</v>
      </c>
      <c r="J116" t="s">
        <v>439</v>
      </c>
      <c r="K116" t="s">
        <v>436</v>
      </c>
    </row>
    <row r="117" spans="1:11" x14ac:dyDescent="0.25">
      <c r="A117" t="s">
        <v>268</v>
      </c>
      <c r="B117" t="s">
        <v>8</v>
      </c>
      <c r="C117" t="s">
        <v>449</v>
      </c>
      <c r="D117" t="s">
        <v>474</v>
      </c>
      <c r="E117" t="s">
        <v>479</v>
      </c>
      <c r="F117" t="s">
        <v>432</v>
      </c>
      <c r="G117" t="s">
        <v>480</v>
      </c>
      <c r="H117" t="s">
        <v>426</v>
      </c>
      <c r="I117" t="s">
        <v>426</v>
      </c>
      <c r="J117" t="s">
        <v>426</v>
      </c>
      <c r="K117" t="s">
        <v>426</v>
      </c>
    </row>
    <row r="118" spans="1:11" x14ac:dyDescent="0.25">
      <c r="A118" t="s">
        <v>268</v>
      </c>
      <c r="B118" t="s">
        <v>89</v>
      </c>
      <c r="C118" t="s">
        <v>426</v>
      </c>
      <c r="D118" t="s">
        <v>426</v>
      </c>
      <c r="E118" t="s">
        <v>426</v>
      </c>
      <c r="F118" t="s">
        <v>426</v>
      </c>
      <c r="G118" t="s">
        <v>426</v>
      </c>
      <c r="H118" t="s">
        <v>432</v>
      </c>
      <c r="I118" t="s">
        <v>77</v>
      </c>
      <c r="J118" t="s">
        <v>439</v>
      </c>
      <c r="K118" t="s">
        <v>444</v>
      </c>
    </row>
    <row r="119" spans="1:11" x14ac:dyDescent="0.25">
      <c r="A119" t="s">
        <v>269</v>
      </c>
      <c r="B119" t="s">
        <v>111</v>
      </c>
      <c r="C119" t="s">
        <v>445</v>
      </c>
      <c r="D119" t="s">
        <v>446</v>
      </c>
      <c r="E119" t="s">
        <v>423</v>
      </c>
      <c r="F119" t="s">
        <v>430</v>
      </c>
      <c r="G119" t="s">
        <v>447</v>
      </c>
      <c r="H119" t="s">
        <v>426</v>
      </c>
      <c r="I119" t="s">
        <v>426</v>
      </c>
      <c r="J119" t="s">
        <v>426</v>
      </c>
      <c r="K119" t="s">
        <v>426</v>
      </c>
    </row>
    <row r="120" spans="1:11" x14ac:dyDescent="0.25">
      <c r="A120" t="s">
        <v>269</v>
      </c>
      <c r="B120" t="s">
        <v>59</v>
      </c>
      <c r="C120" t="s">
        <v>436</v>
      </c>
      <c r="D120" t="s">
        <v>451</v>
      </c>
      <c r="E120" t="s">
        <v>426</v>
      </c>
      <c r="F120" t="s">
        <v>439</v>
      </c>
      <c r="G120" t="s">
        <v>481</v>
      </c>
      <c r="H120" t="s">
        <v>426</v>
      </c>
      <c r="I120" t="s">
        <v>426</v>
      </c>
      <c r="J120" t="s">
        <v>426</v>
      </c>
      <c r="K120" t="s">
        <v>426</v>
      </c>
    </row>
    <row r="121" spans="1:11" x14ac:dyDescent="0.25">
      <c r="A121" t="s">
        <v>270</v>
      </c>
      <c r="B121" t="s">
        <v>101</v>
      </c>
      <c r="C121" t="s">
        <v>426</v>
      </c>
      <c r="D121" t="s">
        <v>426</v>
      </c>
      <c r="E121" t="s">
        <v>426</v>
      </c>
      <c r="F121" t="s">
        <v>426</v>
      </c>
      <c r="G121" t="s">
        <v>426</v>
      </c>
      <c r="H121" t="s">
        <v>432</v>
      </c>
      <c r="I121" t="s">
        <v>30</v>
      </c>
      <c r="J121" t="s">
        <v>424</v>
      </c>
      <c r="K121" t="s">
        <v>455</v>
      </c>
    </row>
    <row r="122" spans="1:11" x14ac:dyDescent="0.25">
      <c r="A122" t="s">
        <v>270</v>
      </c>
      <c r="B122" t="s">
        <v>21</v>
      </c>
      <c r="C122" t="s">
        <v>446</v>
      </c>
      <c r="D122" t="s">
        <v>77</v>
      </c>
      <c r="E122" t="s">
        <v>432</v>
      </c>
      <c r="F122" t="s">
        <v>439</v>
      </c>
      <c r="G122" t="s">
        <v>464</v>
      </c>
      <c r="H122" t="s">
        <v>426</v>
      </c>
      <c r="I122" t="s">
        <v>426</v>
      </c>
      <c r="J122" t="s">
        <v>426</v>
      </c>
      <c r="K122" t="s">
        <v>426</v>
      </c>
    </row>
    <row r="123" spans="1:11" x14ac:dyDescent="0.25">
      <c r="A123" t="s">
        <v>271</v>
      </c>
      <c r="B123" t="s">
        <v>34</v>
      </c>
      <c r="C123" t="s">
        <v>477</v>
      </c>
      <c r="D123" t="s">
        <v>93</v>
      </c>
      <c r="E123" t="s">
        <v>434</v>
      </c>
      <c r="F123" t="s">
        <v>430</v>
      </c>
      <c r="G123" t="s">
        <v>506</v>
      </c>
      <c r="H123" t="s">
        <v>426</v>
      </c>
      <c r="I123" t="s">
        <v>426</v>
      </c>
      <c r="J123" t="s">
        <v>426</v>
      </c>
      <c r="K123" t="s">
        <v>426</v>
      </c>
    </row>
    <row r="124" spans="1:11" x14ac:dyDescent="0.25">
      <c r="A124" t="s">
        <v>272</v>
      </c>
      <c r="B124" t="s">
        <v>119</v>
      </c>
      <c r="C124" t="s">
        <v>470</v>
      </c>
      <c r="D124" t="s">
        <v>438</v>
      </c>
      <c r="E124" t="s">
        <v>451</v>
      </c>
      <c r="F124" t="s">
        <v>424</v>
      </c>
      <c r="G124" t="s">
        <v>471</v>
      </c>
      <c r="H124" t="s">
        <v>426</v>
      </c>
      <c r="I124" t="s">
        <v>426</v>
      </c>
      <c r="J124" t="s">
        <v>426</v>
      </c>
      <c r="K124" t="s">
        <v>426</v>
      </c>
    </row>
    <row r="125" spans="1:11" x14ac:dyDescent="0.25">
      <c r="A125" t="s">
        <v>273</v>
      </c>
      <c r="B125" t="s">
        <v>63</v>
      </c>
      <c r="C125" t="s">
        <v>438</v>
      </c>
      <c r="D125" t="s">
        <v>103</v>
      </c>
      <c r="E125" t="s">
        <v>424</v>
      </c>
      <c r="F125" t="s">
        <v>432</v>
      </c>
      <c r="G125" t="s">
        <v>454</v>
      </c>
      <c r="H125" t="s">
        <v>432</v>
      </c>
      <c r="I125" t="s">
        <v>93</v>
      </c>
      <c r="J125" t="s">
        <v>430</v>
      </c>
      <c r="K125" t="s">
        <v>473</v>
      </c>
    </row>
    <row r="126" spans="1:11" x14ac:dyDescent="0.25">
      <c r="A126" t="s">
        <v>274</v>
      </c>
      <c r="B126" t="s">
        <v>84</v>
      </c>
      <c r="C126" t="s">
        <v>497</v>
      </c>
      <c r="D126" t="s">
        <v>428</v>
      </c>
      <c r="E126" t="s">
        <v>479</v>
      </c>
      <c r="F126" t="s">
        <v>424</v>
      </c>
      <c r="G126" t="s">
        <v>454</v>
      </c>
      <c r="H126" t="s">
        <v>426</v>
      </c>
      <c r="I126" t="s">
        <v>426</v>
      </c>
      <c r="J126" t="s">
        <v>426</v>
      </c>
      <c r="K126" t="s">
        <v>426</v>
      </c>
    </row>
    <row r="127" spans="1:11" x14ac:dyDescent="0.25">
      <c r="A127" t="s">
        <v>275</v>
      </c>
      <c r="B127" t="s">
        <v>95</v>
      </c>
      <c r="C127" t="s">
        <v>428</v>
      </c>
      <c r="D127" t="s">
        <v>77</v>
      </c>
      <c r="E127" t="s">
        <v>429</v>
      </c>
      <c r="F127" t="s">
        <v>430</v>
      </c>
      <c r="G127" t="s">
        <v>471</v>
      </c>
      <c r="H127" t="s">
        <v>426</v>
      </c>
      <c r="I127" t="s">
        <v>426</v>
      </c>
      <c r="J127" t="s">
        <v>426</v>
      </c>
      <c r="K127" t="s">
        <v>426</v>
      </c>
    </row>
    <row r="128" spans="1:11" x14ac:dyDescent="0.25">
      <c r="A128" t="s">
        <v>276</v>
      </c>
      <c r="B128" t="s">
        <v>66</v>
      </c>
      <c r="C128" t="s">
        <v>103</v>
      </c>
      <c r="D128" t="s">
        <v>488</v>
      </c>
      <c r="E128" t="s">
        <v>430</v>
      </c>
      <c r="F128" t="s">
        <v>430</v>
      </c>
      <c r="G128" t="s">
        <v>471</v>
      </c>
      <c r="H128" t="s">
        <v>432</v>
      </c>
      <c r="I128" t="s">
        <v>487</v>
      </c>
      <c r="J128" t="s">
        <v>424</v>
      </c>
      <c r="K128" t="s">
        <v>429</v>
      </c>
    </row>
    <row r="129" spans="1:11" x14ac:dyDescent="0.25">
      <c r="A129" t="s">
        <v>277</v>
      </c>
      <c r="B129" t="s">
        <v>37</v>
      </c>
      <c r="C129" t="s">
        <v>426</v>
      </c>
      <c r="D129" t="s">
        <v>426</v>
      </c>
      <c r="E129" t="s">
        <v>426</v>
      </c>
      <c r="F129" t="s">
        <v>426</v>
      </c>
      <c r="G129" t="s">
        <v>426</v>
      </c>
      <c r="H129" t="s">
        <v>432</v>
      </c>
      <c r="I129" t="s">
        <v>103</v>
      </c>
      <c r="J129" t="s">
        <v>424</v>
      </c>
      <c r="K129" t="s">
        <v>456</v>
      </c>
    </row>
    <row r="130" spans="1:11" x14ac:dyDescent="0.25">
      <c r="A130" t="s">
        <v>278</v>
      </c>
      <c r="B130" t="s">
        <v>117</v>
      </c>
      <c r="C130" t="s">
        <v>446</v>
      </c>
      <c r="D130" t="s">
        <v>487</v>
      </c>
      <c r="E130" t="s">
        <v>432</v>
      </c>
      <c r="F130" t="s">
        <v>424</v>
      </c>
      <c r="G130" t="s">
        <v>459</v>
      </c>
      <c r="H130" t="s">
        <v>426</v>
      </c>
      <c r="I130" t="s">
        <v>426</v>
      </c>
      <c r="J130" t="s">
        <v>426</v>
      </c>
      <c r="K130" t="s">
        <v>426</v>
      </c>
    </row>
    <row r="131" spans="1:11" x14ac:dyDescent="0.25">
      <c r="A131" t="s">
        <v>279</v>
      </c>
      <c r="B131" t="s">
        <v>68</v>
      </c>
      <c r="C131" t="s">
        <v>426</v>
      </c>
      <c r="D131" t="s">
        <v>426</v>
      </c>
      <c r="E131" t="s">
        <v>426</v>
      </c>
      <c r="F131" t="s">
        <v>426</v>
      </c>
      <c r="G131" t="s">
        <v>426</v>
      </c>
      <c r="H131" t="s">
        <v>432</v>
      </c>
      <c r="I131" t="s">
        <v>30</v>
      </c>
      <c r="J131" t="s">
        <v>424</v>
      </c>
      <c r="K131" t="s">
        <v>455</v>
      </c>
    </row>
    <row r="132" spans="1:11" x14ac:dyDescent="0.25">
      <c r="A132" t="s">
        <v>280</v>
      </c>
      <c r="B132" t="s">
        <v>75</v>
      </c>
      <c r="C132" t="s">
        <v>426</v>
      </c>
      <c r="D132" t="s">
        <v>426</v>
      </c>
      <c r="E132" t="s">
        <v>426</v>
      </c>
      <c r="F132" t="s">
        <v>426</v>
      </c>
      <c r="G132" t="s">
        <v>426</v>
      </c>
      <c r="H132" t="s">
        <v>432</v>
      </c>
      <c r="I132" t="s">
        <v>488</v>
      </c>
      <c r="J132" t="s">
        <v>430</v>
      </c>
      <c r="K132" t="s">
        <v>518</v>
      </c>
    </row>
    <row r="133" spans="1:11" x14ac:dyDescent="0.25">
      <c r="A133" t="s">
        <v>281</v>
      </c>
      <c r="B133" t="s">
        <v>98</v>
      </c>
      <c r="C133" t="s">
        <v>445</v>
      </c>
      <c r="D133" t="s">
        <v>446</v>
      </c>
      <c r="E133" t="s">
        <v>423</v>
      </c>
      <c r="F133" t="s">
        <v>424</v>
      </c>
      <c r="G133" t="s">
        <v>447</v>
      </c>
      <c r="H133" t="s">
        <v>426</v>
      </c>
      <c r="I133" t="s">
        <v>426</v>
      </c>
      <c r="J133" t="s">
        <v>426</v>
      </c>
      <c r="K133" t="s">
        <v>426</v>
      </c>
    </row>
    <row r="134" spans="1:11" x14ac:dyDescent="0.25">
      <c r="A134" t="s">
        <v>282</v>
      </c>
      <c r="B134" t="s">
        <v>41</v>
      </c>
      <c r="C134" t="s">
        <v>482</v>
      </c>
      <c r="D134" t="s">
        <v>93</v>
      </c>
      <c r="E134" t="s">
        <v>429</v>
      </c>
      <c r="F134" t="s">
        <v>430</v>
      </c>
      <c r="G134" t="s">
        <v>510</v>
      </c>
      <c r="H134" t="s">
        <v>426</v>
      </c>
      <c r="I134" t="s">
        <v>426</v>
      </c>
      <c r="J134" t="s">
        <v>426</v>
      </c>
      <c r="K134" t="s">
        <v>426</v>
      </c>
    </row>
    <row r="135" spans="1:11" x14ac:dyDescent="0.25">
      <c r="A135" t="s">
        <v>283</v>
      </c>
      <c r="B135" t="s">
        <v>47</v>
      </c>
      <c r="C135" t="s">
        <v>508</v>
      </c>
      <c r="D135" t="s">
        <v>428</v>
      </c>
      <c r="E135" t="s">
        <v>451</v>
      </c>
      <c r="F135" t="s">
        <v>424</v>
      </c>
      <c r="G135" t="s">
        <v>484</v>
      </c>
      <c r="H135" t="s">
        <v>426</v>
      </c>
      <c r="I135" t="s">
        <v>426</v>
      </c>
      <c r="J135" t="s">
        <v>426</v>
      </c>
      <c r="K135" t="s">
        <v>426</v>
      </c>
    </row>
    <row r="136" spans="1:11" x14ac:dyDescent="0.25">
      <c r="A136" t="s">
        <v>284</v>
      </c>
      <c r="B136" t="s">
        <v>8</v>
      </c>
      <c r="C136" t="s">
        <v>507</v>
      </c>
      <c r="D136" t="s">
        <v>438</v>
      </c>
      <c r="E136" t="s">
        <v>434</v>
      </c>
      <c r="F136" t="s">
        <v>424</v>
      </c>
      <c r="G136" t="s">
        <v>519</v>
      </c>
      <c r="H136" t="s">
        <v>426</v>
      </c>
      <c r="I136" t="s">
        <v>426</v>
      </c>
      <c r="J136" t="s">
        <v>426</v>
      </c>
      <c r="K136" t="s">
        <v>426</v>
      </c>
    </row>
    <row r="137" spans="1:11" x14ac:dyDescent="0.25">
      <c r="A137" t="s">
        <v>285</v>
      </c>
      <c r="B137" t="s">
        <v>111</v>
      </c>
      <c r="C137" t="s">
        <v>482</v>
      </c>
      <c r="D137" t="s">
        <v>93</v>
      </c>
      <c r="E137" t="s">
        <v>429</v>
      </c>
      <c r="F137" t="s">
        <v>430</v>
      </c>
      <c r="G137" t="s">
        <v>510</v>
      </c>
      <c r="H137" t="s">
        <v>426</v>
      </c>
      <c r="I137" t="s">
        <v>426</v>
      </c>
      <c r="J137" t="s">
        <v>426</v>
      </c>
      <c r="K137" t="s">
        <v>426</v>
      </c>
    </row>
    <row r="138" spans="1:11" x14ac:dyDescent="0.25">
      <c r="A138" t="s">
        <v>286</v>
      </c>
      <c r="B138" t="s">
        <v>101</v>
      </c>
      <c r="C138" t="s">
        <v>426</v>
      </c>
      <c r="D138" t="s">
        <v>426</v>
      </c>
      <c r="E138" t="s">
        <v>426</v>
      </c>
      <c r="F138" t="s">
        <v>426</v>
      </c>
      <c r="G138" t="s">
        <v>426</v>
      </c>
      <c r="H138" t="s">
        <v>432</v>
      </c>
      <c r="I138" t="s">
        <v>433</v>
      </c>
      <c r="J138" t="s">
        <v>424</v>
      </c>
      <c r="K138" t="s">
        <v>434</v>
      </c>
    </row>
    <row r="139" spans="1:11" x14ac:dyDescent="0.25">
      <c r="A139" t="s">
        <v>287</v>
      </c>
      <c r="B139" t="s">
        <v>16</v>
      </c>
      <c r="C139" t="s">
        <v>426</v>
      </c>
      <c r="D139" t="s">
        <v>426</v>
      </c>
      <c r="E139" t="s">
        <v>426</v>
      </c>
      <c r="F139" t="s">
        <v>426</v>
      </c>
      <c r="G139" t="s">
        <v>426</v>
      </c>
      <c r="H139" t="s">
        <v>432</v>
      </c>
      <c r="I139" t="s">
        <v>103</v>
      </c>
      <c r="J139" t="s">
        <v>430</v>
      </c>
      <c r="K139" t="s">
        <v>456</v>
      </c>
    </row>
    <row r="140" spans="1:11" x14ac:dyDescent="0.25">
      <c r="A140" t="s">
        <v>288</v>
      </c>
      <c r="B140" t="s">
        <v>115</v>
      </c>
      <c r="C140" t="s">
        <v>426</v>
      </c>
      <c r="D140" t="s">
        <v>426</v>
      </c>
      <c r="E140" t="s">
        <v>426</v>
      </c>
      <c r="F140" t="s">
        <v>426</v>
      </c>
      <c r="G140" t="s">
        <v>426</v>
      </c>
      <c r="H140" t="s">
        <v>432</v>
      </c>
      <c r="I140" t="s">
        <v>93</v>
      </c>
      <c r="J140" t="s">
        <v>439</v>
      </c>
      <c r="K140" t="s">
        <v>473</v>
      </c>
    </row>
    <row r="141" spans="1:11" x14ac:dyDescent="0.25">
      <c r="A141" t="s">
        <v>289</v>
      </c>
      <c r="B141" t="s">
        <v>47</v>
      </c>
      <c r="C141" t="s">
        <v>497</v>
      </c>
      <c r="D141" t="s">
        <v>482</v>
      </c>
      <c r="E141" t="s">
        <v>479</v>
      </c>
      <c r="F141" t="s">
        <v>424</v>
      </c>
      <c r="G141" t="s">
        <v>520</v>
      </c>
      <c r="H141" t="s">
        <v>426</v>
      </c>
      <c r="I141" t="s">
        <v>426</v>
      </c>
      <c r="J141" t="s">
        <v>426</v>
      </c>
      <c r="K141" t="s">
        <v>426</v>
      </c>
    </row>
    <row r="142" spans="1:11" x14ac:dyDescent="0.25">
      <c r="A142" t="s">
        <v>290</v>
      </c>
      <c r="B142" t="s">
        <v>21</v>
      </c>
      <c r="C142" t="s">
        <v>438</v>
      </c>
      <c r="D142" t="s">
        <v>77</v>
      </c>
      <c r="E142" t="s">
        <v>432</v>
      </c>
      <c r="F142" t="s">
        <v>430</v>
      </c>
      <c r="G142" t="s">
        <v>475</v>
      </c>
      <c r="H142" t="s">
        <v>426</v>
      </c>
      <c r="I142" t="s">
        <v>426</v>
      </c>
      <c r="J142" t="s">
        <v>426</v>
      </c>
      <c r="K142" t="s">
        <v>426</v>
      </c>
    </row>
    <row r="143" spans="1:11" x14ac:dyDescent="0.25">
      <c r="A143" t="s">
        <v>291</v>
      </c>
      <c r="B143" t="s">
        <v>27</v>
      </c>
      <c r="C143" t="s">
        <v>428</v>
      </c>
      <c r="D143" t="s">
        <v>77</v>
      </c>
      <c r="E143" t="s">
        <v>429</v>
      </c>
      <c r="F143" t="s">
        <v>430</v>
      </c>
      <c r="G143" t="s">
        <v>471</v>
      </c>
      <c r="H143" t="s">
        <v>426</v>
      </c>
      <c r="I143" t="s">
        <v>426</v>
      </c>
      <c r="J143" t="s">
        <v>426</v>
      </c>
      <c r="K143" t="s">
        <v>426</v>
      </c>
    </row>
    <row r="144" spans="1:11" x14ac:dyDescent="0.25">
      <c r="A144" t="s">
        <v>292</v>
      </c>
      <c r="B144" t="s">
        <v>81</v>
      </c>
      <c r="C144" t="s">
        <v>426</v>
      </c>
      <c r="D144" t="s">
        <v>426</v>
      </c>
      <c r="E144" t="s">
        <v>426</v>
      </c>
      <c r="F144" t="s">
        <v>426</v>
      </c>
      <c r="G144" t="s">
        <v>426</v>
      </c>
      <c r="H144" t="s">
        <v>432</v>
      </c>
      <c r="I144" t="s">
        <v>487</v>
      </c>
      <c r="J144" t="s">
        <v>424</v>
      </c>
      <c r="K144" t="s">
        <v>429</v>
      </c>
    </row>
    <row r="145" spans="1:11" x14ac:dyDescent="0.25">
      <c r="A145" t="s">
        <v>293</v>
      </c>
      <c r="B145" t="s">
        <v>107</v>
      </c>
      <c r="C145" t="s">
        <v>426</v>
      </c>
      <c r="D145" t="s">
        <v>426</v>
      </c>
      <c r="E145" t="s">
        <v>426</v>
      </c>
      <c r="F145" t="s">
        <v>426</v>
      </c>
      <c r="G145" t="s">
        <v>426</v>
      </c>
      <c r="H145" t="s">
        <v>432</v>
      </c>
      <c r="I145" t="s">
        <v>30</v>
      </c>
      <c r="J145" t="s">
        <v>430</v>
      </c>
      <c r="K145" t="s">
        <v>455</v>
      </c>
    </row>
    <row r="146" spans="1:11" x14ac:dyDescent="0.25">
      <c r="A146" t="s">
        <v>294</v>
      </c>
      <c r="B146" t="s">
        <v>63</v>
      </c>
      <c r="C146" t="s">
        <v>492</v>
      </c>
      <c r="D146" t="s">
        <v>446</v>
      </c>
      <c r="E146" t="s">
        <v>451</v>
      </c>
      <c r="F146" t="s">
        <v>432</v>
      </c>
      <c r="G146" t="s">
        <v>459</v>
      </c>
      <c r="H146" t="s">
        <v>432</v>
      </c>
      <c r="I146" t="s">
        <v>77</v>
      </c>
      <c r="J146" t="s">
        <v>439</v>
      </c>
      <c r="K146" t="s">
        <v>444</v>
      </c>
    </row>
    <row r="147" spans="1:11" x14ac:dyDescent="0.25">
      <c r="A147" t="s">
        <v>295</v>
      </c>
      <c r="B147" t="s">
        <v>117</v>
      </c>
      <c r="C147" t="s">
        <v>445</v>
      </c>
      <c r="D147" t="s">
        <v>93</v>
      </c>
      <c r="E147" t="s">
        <v>423</v>
      </c>
      <c r="F147" t="s">
        <v>432</v>
      </c>
      <c r="G147" t="s">
        <v>521</v>
      </c>
      <c r="H147" t="s">
        <v>426</v>
      </c>
      <c r="I147" t="s">
        <v>426</v>
      </c>
      <c r="J147" t="s">
        <v>426</v>
      </c>
      <c r="K147" t="s">
        <v>426</v>
      </c>
    </row>
    <row r="148" spans="1:11" x14ac:dyDescent="0.25">
      <c r="A148" t="s">
        <v>296</v>
      </c>
      <c r="B148" t="s">
        <v>31</v>
      </c>
      <c r="C148" t="s">
        <v>446</v>
      </c>
      <c r="D148" t="s">
        <v>103</v>
      </c>
      <c r="E148" t="s">
        <v>424</v>
      </c>
      <c r="F148" t="s">
        <v>430</v>
      </c>
      <c r="G148" t="s">
        <v>522</v>
      </c>
      <c r="H148" t="s">
        <v>432</v>
      </c>
      <c r="I148" t="s">
        <v>77</v>
      </c>
      <c r="J148" t="s">
        <v>430</v>
      </c>
      <c r="K148" t="s">
        <v>444</v>
      </c>
    </row>
    <row r="149" spans="1:11" x14ac:dyDescent="0.25">
      <c r="A149" t="s">
        <v>297</v>
      </c>
      <c r="B149" t="s">
        <v>91</v>
      </c>
      <c r="C149" t="s">
        <v>426</v>
      </c>
      <c r="D149" t="s">
        <v>426</v>
      </c>
      <c r="E149" t="s">
        <v>426</v>
      </c>
      <c r="F149" t="s">
        <v>426</v>
      </c>
      <c r="G149" t="s">
        <v>426</v>
      </c>
      <c r="H149" t="s">
        <v>523</v>
      </c>
      <c r="I149" t="s">
        <v>488</v>
      </c>
      <c r="J149" t="s">
        <v>424</v>
      </c>
      <c r="K149" t="s">
        <v>524</v>
      </c>
    </row>
    <row r="150" spans="1:11" x14ac:dyDescent="0.25">
      <c r="A150" t="s">
        <v>298</v>
      </c>
      <c r="B150" t="s">
        <v>79</v>
      </c>
      <c r="C150" t="s">
        <v>482</v>
      </c>
      <c r="D150" t="s">
        <v>77</v>
      </c>
      <c r="E150" t="s">
        <v>429</v>
      </c>
      <c r="F150" t="s">
        <v>424</v>
      </c>
      <c r="G150" t="s">
        <v>480</v>
      </c>
      <c r="H150" t="s">
        <v>426</v>
      </c>
      <c r="I150" t="s">
        <v>426</v>
      </c>
      <c r="J150" t="s">
        <v>426</v>
      </c>
      <c r="K150" t="s">
        <v>426</v>
      </c>
    </row>
    <row r="151" spans="1:11" x14ac:dyDescent="0.25">
      <c r="A151" t="s">
        <v>299</v>
      </c>
      <c r="B151" t="s">
        <v>47</v>
      </c>
      <c r="C151" t="s">
        <v>507</v>
      </c>
      <c r="D151" t="s">
        <v>446</v>
      </c>
      <c r="E151" t="s">
        <v>434</v>
      </c>
      <c r="F151" t="s">
        <v>424</v>
      </c>
      <c r="G151" t="s">
        <v>478</v>
      </c>
      <c r="H151" t="s">
        <v>426</v>
      </c>
      <c r="I151" t="s">
        <v>426</v>
      </c>
      <c r="J151" t="s">
        <v>426</v>
      </c>
      <c r="K151" t="s">
        <v>426</v>
      </c>
    </row>
    <row r="152" spans="1:11" x14ac:dyDescent="0.25">
      <c r="A152" t="s">
        <v>300</v>
      </c>
      <c r="B152" t="s">
        <v>95</v>
      </c>
      <c r="C152" t="s">
        <v>477</v>
      </c>
      <c r="D152" t="s">
        <v>446</v>
      </c>
      <c r="E152" t="s">
        <v>423</v>
      </c>
      <c r="F152" t="s">
        <v>430</v>
      </c>
      <c r="G152" t="s">
        <v>475</v>
      </c>
      <c r="H152" t="s">
        <v>426</v>
      </c>
      <c r="I152" t="s">
        <v>426</v>
      </c>
      <c r="J152" t="s">
        <v>426</v>
      </c>
      <c r="K152" t="s">
        <v>426</v>
      </c>
    </row>
    <row r="153" spans="1:11" x14ac:dyDescent="0.25">
      <c r="A153" t="s">
        <v>301</v>
      </c>
      <c r="B153" t="s">
        <v>111</v>
      </c>
      <c r="C153" t="s">
        <v>492</v>
      </c>
      <c r="D153" t="s">
        <v>438</v>
      </c>
      <c r="E153" t="s">
        <v>451</v>
      </c>
      <c r="F153" t="s">
        <v>424</v>
      </c>
      <c r="G153" t="s">
        <v>525</v>
      </c>
      <c r="H153" t="s">
        <v>426</v>
      </c>
      <c r="I153" t="s">
        <v>426</v>
      </c>
      <c r="J153" t="s">
        <v>426</v>
      </c>
      <c r="K153" t="s">
        <v>426</v>
      </c>
    </row>
    <row r="154" spans="1:11" x14ac:dyDescent="0.25">
      <c r="A154" t="s">
        <v>302</v>
      </c>
      <c r="B154" t="s">
        <v>16</v>
      </c>
      <c r="C154" t="s">
        <v>426</v>
      </c>
      <c r="D154" t="s">
        <v>426</v>
      </c>
      <c r="E154" t="s">
        <v>426</v>
      </c>
      <c r="F154" t="s">
        <v>426</v>
      </c>
      <c r="G154" t="s">
        <v>426</v>
      </c>
      <c r="H154" t="s">
        <v>432</v>
      </c>
      <c r="I154" t="s">
        <v>433</v>
      </c>
      <c r="J154" t="s">
        <v>424</v>
      </c>
      <c r="K154" t="s">
        <v>434</v>
      </c>
    </row>
    <row r="155" spans="1:11" x14ac:dyDescent="0.25">
      <c r="A155" t="s">
        <v>303</v>
      </c>
      <c r="B155" t="s">
        <v>51</v>
      </c>
      <c r="C155" t="s">
        <v>426</v>
      </c>
      <c r="D155" t="s">
        <v>426</v>
      </c>
      <c r="E155" t="s">
        <v>426</v>
      </c>
      <c r="F155" t="s">
        <v>426</v>
      </c>
      <c r="G155" t="s">
        <v>426</v>
      </c>
      <c r="H155" t="s">
        <v>432</v>
      </c>
      <c r="I155" t="s">
        <v>77</v>
      </c>
      <c r="J155" t="s">
        <v>430</v>
      </c>
      <c r="K155" t="s">
        <v>444</v>
      </c>
    </row>
    <row r="156" spans="1:11" x14ac:dyDescent="0.25">
      <c r="A156" t="s">
        <v>304</v>
      </c>
      <c r="B156" t="s">
        <v>21</v>
      </c>
      <c r="C156" t="s">
        <v>428</v>
      </c>
      <c r="D156" t="s">
        <v>93</v>
      </c>
      <c r="E156" t="s">
        <v>429</v>
      </c>
      <c r="F156" t="s">
        <v>430</v>
      </c>
      <c r="G156" t="s">
        <v>499</v>
      </c>
      <c r="H156" t="s">
        <v>426</v>
      </c>
      <c r="I156" t="s">
        <v>426</v>
      </c>
      <c r="J156" t="s">
        <v>426</v>
      </c>
      <c r="K156" t="s">
        <v>426</v>
      </c>
    </row>
    <row r="157" spans="1:11" x14ac:dyDescent="0.25">
      <c r="A157" t="s">
        <v>305</v>
      </c>
      <c r="B157" t="s">
        <v>119</v>
      </c>
      <c r="C157" t="s">
        <v>477</v>
      </c>
      <c r="D157" t="s">
        <v>446</v>
      </c>
      <c r="E157" t="s">
        <v>423</v>
      </c>
      <c r="F157" t="s">
        <v>430</v>
      </c>
      <c r="G157" t="s">
        <v>475</v>
      </c>
      <c r="H157" t="s">
        <v>426</v>
      </c>
      <c r="I157" t="s">
        <v>426</v>
      </c>
      <c r="J157" t="s">
        <v>426</v>
      </c>
      <c r="K157" t="s">
        <v>426</v>
      </c>
    </row>
    <row r="158" spans="1:11" x14ac:dyDescent="0.25">
      <c r="A158" t="s">
        <v>306</v>
      </c>
      <c r="B158" t="s">
        <v>59</v>
      </c>
      <c r="C158" t="s">
        <v>428</v>
      </c>
      <c r="D158" t="s">
        <v>77</v>
      </c>
      <c r="E158" t="s">
        <v>429</v>
      </c>
      <c r="F158" t="s">
        <v>430</v>
      </c>
      <c r="G158" t="s">
        <v>471</v>
      </c>
      <c r="H158" t="s">
        <v>426</v>
      </c>
      <c r="I158" t="s">
        <v>426</v>
      </c>
      <c r="J158" t="s">
        <v>426</v>
      </c>
      <c r="K158" t="s">
        <v>426</v>
      </c>
    </row>
    <row r="159" spans="1:11" x14ac:dyDescent="0.25">
      <c r="A159" t="s">
        <v>307</v>
      </c>
      <c r="B159" t="s">
        <v>34</v>
      </c>
      <c r="C159" t="s">
        <v>507</v>
      </c>
      <c r="D159" t="s">
        <v>446</v>
      </c>
      <c r="E159" t="s">
        <v>434</v>
      </c>
      <c r="F159" t="s">
        <v>424</v>
      </c>
      <c r="G159" t="s">
        <v>478</v>
      </c>
      <c r="H159" t="s">
        <v>426</v>
      </c>
      <c r="I159" t="s">
        <v>426</v>
      </c>
      <c r="J159" t="s">
        <v>426</v>
      </c>
      <c r="K159" t="s">
        <v>426</v>
      </c>
    </row>
    <row r="160" spans="1:11" x14ac:dyDescent="0.25">
      <c r="A160" t="s">
        <v>308</v>
      </c>
      <c r="B160" t="s">
        <v>84</v>
      </c>
      <c r="C160" t="s">
        <v>482</v>
      </c>
      <c r="D160" t="s">
        <v>93</v>
      </c>
      <c r="E160" t="s">
        <v>429</v>
      </c>
      <c r="F160" t="s">
        <v>430</v>
      </c>
      <c r="G160" t="s">
        <v>510</v>
      </c>
      <c r="H160" t="s">
        <v>426</v>
      </c>
      <c r="I160" t="s">
        <v>426</v>
      </c>
      <c r="J160" t="s">
        <v>426</v>
      </c>
      <c r="K160" t="s">
        <v>426</v>
      </c>
    </row>
    <row r="161" spans="1:11" x14ac:dyDescent="0.25">
      <c r="A161" t="s">
        <v>309</v>
      </c>
      <c r="B161" t="s">
        <v>63</v>
      </c>
      <c r="C161" t="s">
        <v>477</v>
      </c>
      <c r="D161" t="s">
        <v>77</v>
      </c>
      <c r="E161" t="s">
        <v>423</v>
      </c>
      <c r="F161" t="s">
        <v>432</v>
      </c>
      <c r="G161" t="s">
        <v>459</v>
      </c>
      <c r="H161" t="s">
        <v>432</v>
      </c>
      <c r="I161" t="s">
        <v>446</v>
      </c>
      <c r="J161" t="s">
        <v>439</v>
      </c>
      <c r="K161" t="s">
        <v>436</v>
      </c>
    </row>
    <row r="162" spans="1:11" x14ac:dyDescent="0.25">
      <c r="A162" t="s">
        <v>310</v>
      </c>
      <c r="B162" t="s">
        <v>101</v>
      </c>
      <c r="C162" t="s">
        <v>426</v>
      </c>
      <c r="D162" t="s">
        <v>426</v>
      </c>
      <c r="E162" t="s">
        <v>426</v>
      </c>
      <c r="F162" t="s">
        <v>426</v>
      </c>
      <c r="G162" t="s">
        <v>426</v>
      </c>
      <c r="H162" t="s">
        <v>432</v>
      </c>
      <c r="I162" t="s">
        <v>39</v>
      </c>
      <c r="J162" t="s">
        <v>430</v>
      </c>
      <c r="K162" t="s">
        <v>451</v>
      </c>
    </row>
    <row r="163" spans="1:11" x14ac:dyDescent="0.25">
      <c r="A163" t="s">
        <v>311</v>
      </c>
      <c r="B163" t="s">
        <v>84</v>
      </c>
      <c r="C163" t="s">
        <v>508</v>
      </c>
      <c r="D163" t="s">
        <v>438</v>
      </c>
      <c r="E163" t="s">
        <v>451</v>
      </c>
      <c r="F163" t="s">
        <v>432</v>
      </c>
      <c r="G163" t="s">
        <v>442</v>
      </c>
      <c r="H163" t="s">
        <v>426</v>
      </c>
      <c r="I163" t="s">
        <v>426</v>
      </c>
      <c r="J163" t="s">
        <v>426</v>
      </c>
      <c r="K163" t="s">
        <v>426</v>
      </c>
    </row>
    <row r="164" spans="1:11" x14ac:dyDescent="0.25">
      <c r="A164" t="s">
        <v>312</v>
      </c>
      <c r="B164" t="s">
        <v>16</v>
      </c>
      <c r="C164" t="s">
        <v>426</v>
      </c>
      <c r="D164" t="s">
        <v>426</v>
      </c>
      <c r="E164" t="s">
        <v>426</v>
      </c>
      <c r="F164" t="s">
        <v>426</v>
      </c>
      <c r="G164" t="s">
        <v>426</v>
      </c>
      <c r="H164" t="s">
        <v>432</v>
      </c>
      <c r="I164" t="s">
        <v>103</v>
      </c>
      <c r="J164" t="s">
        <v>424</v>
      </c>
      <c r="K164" t="s">
        <v>456</v>
      </c>
    </row>
    <row r="165" spans="1:11" x14ac:dyDescent="0.25">
      <c r="A165" t="s">
        <v>313</v>
      </c>
      <c r="B165" t="s">
        <v>95</v>
      </c>
      <c r="C165" t="s">
        <v>470</v>
      </c>
      <c r="D165" t="s">
        <v>446</v>
      </c>
      <c r="E165" t="s">
        <v>434</v>
      </c>
      <c r="F165" t="s">
        <v>424</v>
      </c>
      <c r="G165" t="s">
        <v>509</v>
      </c>
      <c r="H165" t="s">
        <v>426</v>
      </c>
      <c r="I165" t="s">
        <v>426</v>
      </c>
      <c r="J165" t="s">
        <v>426</v>
      </c>
      <c r="K165" t="s">
        <v>426</v>
      </c>
    </row>
    <row r="166" spans="1:11" x14ac:dyDescent="0.25">
      <c r="A166" t="s">
        <v>314</v>
      </c>
      <c r="B166" t="s">
        <v>47</v>
      </c>
      <c r="C166" t="s">
        <v>428</v>
      </c>
      <c r="D166" t="s">
        <v>77</v>
      </c>
      <c r="E166" t="s">
        <v>429</v>
      </c>
      <c r="F166" t="s">
        <v>430</v>
      </c>
      <c r="G166" t="s">
        <v>471</v>
      </c>
      <c r="H166" t="s">
        <v>426</v>
      </c>
      <c r="I166" t="s">
        <v>426</v>
      </c>
      <c r="J166" t="s">
        <v>426</v>
      </c>
      <c r="K166" t="s">
        <v>426</v>
      </c>
    </row>
    <row r="167" spans="1:11" x14ac:dyDescent="0.25">
      <c r="A167" t="s">
        <v>315</v>
      </c>
      <c r="B167" t="s">
        <v>66</v>
      </c>
      <c r="C167" t="s">
        <v>77</v>
      </c>
      <c r="D167" t="s">
        <v>488</v>
      </c>
      <c r="E167" t="s">
        <v>424</v>
      </c>
      <c r="F167" t="s">
        <v>430</v>
      </c>
      <c r="G167" t="s">
        <v>459</v>
      </c>
      <c r="H167" t="s">
        <v>432</v>
      </c>
      <c r="I167" t="s">
        <v>433</v>
      </c>
      <c r="J167" t="s">
        <v>430</v>
      </c>
      <c r="K167" t="s">
        <v>434</v>
      </c>
    </row>
    <row r="168" spans="1:11" x14ac:dyDescent="0.25">
      <c r="A168" t="s">
        <v>316</v>
      </c>
      <c r="B168" t="s">
        <v>81</v>
      </c>
      <c r="C168" t="s">
        <v>426</v>
      </c>
      <c r="D168" t="s">
        <v>426</v>
      </c>
      <c r="E168" t="s">
        <v>426</v>
      </c>
      <c r="F168" t="s">
        <v>426</v>
      </c>
      <c r="G168" t="s">
        <v>426</v>
      </c>
      <c r="H168" t="s">
        <v>432</v>
      </c>
      <c r="I168" t="s">
        <v>30</v>
      </c>
      <c r="J168" t="s">
        <v>430</v>
      </c>
      <c r="K168" t="s">
        <v>455</v>
      </c>
    </row>
    <row r="169" spans="1:11" x14ac:dyDescent="0.25">
      <c r="A169" t="s">
        <v>317</v>
      </c>
      <c r="B169" t="s">
        <v>37</v>
      </c>
      <c r="C169" t="s">
        <v>426</v>
      </c>
      <c r="D169" t="s">
        <v>426</v>
      </c>
      <c r="E169" t="s">
        <v>426</v>
      </c>
      <c r="F169" t="s">
        <v>426</v>
      </c>
      <c r="G169" t="s">
        <v>426</v>
      </c>
      <c r="H169" t="s">
        <v>432</v>
      </c>
      <c r="I169" t="s">
        <v>77</v>
      </c>
      <c r="J169" t="s">
        <v>430</v>
      </c>
      <c r="K169" t="s">
        <v>444</v>
      </c>
    </row>
    <row r="170" spans="1:11" x14ac:dyDescent="0.25">
      <c r="A170" t="s">
        <v>318</v>
      </c>
      <c r="B170" t="s">
        <v>98</v>
      </c>
      <c r="C170" t="s">
        <v>438</v>
      </c>
      <c r="D170" t="s">
        <v>77</v>
      </c>
      <c r="E170" t="s">
        <v>432</v>
      </c>
      <c r="F170" t="s">
        <v>430</v>
      </c>
      <c r="G170" t="s">
        <v>475</v>
      </c>
      <c r="H170" t="s">
        <v>426</v>
      </c>
      <c r="I170" t="s">
        <v>426</v>
      </c>
      <c r="J170" t="s">
        <v>426</v>
      </c>
      <c r="K170" t="s">
        <v>426</v>
      </c>
    </row>
    <row r="171" spans="1:11" x14ac:dyDescent="0.25">
      <c r="A171" t="s">
        <v>319</v>
      </c>
      <c r="B171" t="s">
        <v>117</v>
      </c>
      <c r="C171" t="s">
        <v>470</v>
      </c>
      <c r="D171" t="s">
        <v>446</v>
      </c>
      <c r="E171" t="s">
        <v>434</v>
      </c>
      <c r="F171" t="s">
        <v>432</v>
      </c>
      <c r="G171" t="s">
        <v>509</v>
      </c>
      <c r="H171" t="s">
        <v>426</v>
      </c>
      <c r="I171" t="s">
        <v>426</v>
      </c>
      <c r="J171" t="s">
        <v>426</v>
      </c>
      <c r="K171" t="s">
        <v>426</v>
      </c>
    </row>
    <row r="172" spans="1:11" x14ac:dyDescent="0.25">
      <c r="A172" t="s">
        <v>320</v>
      </c>
      <c r="B172" t="s">
        <v>31</v>
      </c>
      <c r="C172" t="s">
        <v>428</v>
      </c>
      <c r="D172" t="s">
        <v>77</v>
      </c>
      <c r="E172" t="s">
        <v>429</v>
      </c>
      <c r="F172" t="s">
        <v>430</v>
      </c>
      <c r="G172" t="s">
        <v>471</v>
      </c>
      <c r="H172" t="s">
        <v>432</v>
      </c>
      <c r="I172" t="s">
        <v>93</v>
      </c>
      <c r="J172" t="s">
        <v>439</v>
      </c>
      <c r="K172" t="s">
        <v>473</v>
      </c>
    </row>
    <row r="173" spans="1:11" x14ac:dyDescent="0.25">
      <c r="A173" t="s">
        <v>321</v>
      </c>
      <c r="B173" t="s">
        <v>91</v>
      </c>
      <c r="C173" t="s">
        <v>426</v>
      </c>
      <c r="D173" t="s">
        <v>426</v>
      </c>
      <c r="E173" t="s">
        <v>426</v>
      </c>
      <c r="F173" t="s">
        <v>426</v>
      </c>
      <c r="G173" t="s">
        <v>426</v>
      </c>
      <c r="H173" t="s">
        <v>432</v>
      </c>
      <c r="I173" t="s">
        <v>30</v>
      </c>
      <c r="J173" t="s">
        <v>424</v>
      </c>
      <c r="K173" t="s">
        <v>455</v>
      </c>
    </row>
    <row r="174" spans="1:11" x14ac:dyDescent="0.25">
      <c r="A174" t="s">
        <v>322</v>
      </c>
      <c r="B174" t="s">
        <v>119</v>
      </c>
      <c r="C174" t="s">
        <v>446</v>
      </c>
      <c r="D174" t="s">
        <v>103</v>
      </c>
      <c r="E174" t="s">
        <v>432</v>
      </c>
      <c r="F174" t="s">
        <v>439</v>
      </c>
      <c r="G174" t="s">
        <v>522</v>
      </c>
      <c r="H174" t="s">
        <v>426</v>
      </c>
      <c r="I174" t="s">
        <v>426</v>
      </c>
      <c r="J174" t="s">
        <v>426</v>
      </c>
      <c r="K174" t="s">
        <v>426</v>
      </c>
    </row>
    <row r="175" spans="1:11" x14ac:dyDescent="0.25">
      <c r="A175" t="s">
        <v>323</v>
      </c>
      <c r="B175" t="s">
        <v>47</v>
      </c>
      <c r="C175" t="s">
        <v>507</v>
      </c>
      <c r="D175" t="s">
        <v>438</v>
      </c>
      <c r="E175" t="s">
        <v>434</v>
      </c>
      <c r="F175" t="s">
        <v>430</v>
      </c>
      <c r="G175" t="s">
        <v>519</v>
      </c>
      <c r="H175" t="s">
        <v>426</v>
      </c>
      <c r="I175" t="s">
        <v>426</v>
      </c>
      <c r="J175" t="s">
        <v>426</v>
      </c>
      <c r="K175" t="s">
        <v>426</v>
      </c>
    </row>
    <row r="176" spans="1:11" x14ac:dyDescent="0.25">
      <c r="A176" t="s">
        <v>324</v>
      </c>
      <c r="B176" t="s">
        <v>66</v>
      </c>
      <c r="C176" t="s">
        <v>487</v>
      </c>
      <c r="D176" t="s">
        <v>436</v>
      </c>
      <c r="E176" t="s">
        <v>430</v>
      </c>
      <c r="F176" t="s">
        <v>439</v>
      </c>
      <c r="G176" t="s">
        <v>459</v>
      </c>
      <c r="H176" t="s">
        <v>432</v>
      </c>
      <c r="I176" t="s">
        <v>103</v>
      </c>
      <c r="J176" t="s">
        <v>424</v>
      </c>
      <c r="K176" t="s">
        <v>456</v>
      </c>
    </row>
    <row r="177" spans="1:11" x14ac:dyDescent="0.25">
      <c r="A177" t="s">
        <v>325</v>
      </c>
      <c r="B177" t="s">
        <v>79</v>
      </c>
      <c r="C177" t="s">
        <v>477</v>
      </c>
      <c r="D177" t="s">
        <v>93</v>
      </c>
      <c r="E177" t="s">
        <v>423</v>
      </c>
      <c r="F177" t="s">
        <v>424</v>
      </c>
      <c r="G177" t="s">
        <v>506</v>
      </c>
      <c r="H177" t="s">
        <v>426</v>
      </c>
      <c r="I177" t="s">
        <v>426</v>
      </c>
      <c r="J177" t="s">
        <v>426</v>
      </c>
      <c r="K177" t="s">
        <v>426</v>
      </c>
    </row>
    <row r="178" spans="1:11" x14ac:dyDescent="0.25">
      <c r="A178" t="s">
        <v>326</v>
      </c>
      <c r="B178" t="s">
        <v>75</v>
      </c>
      <c r="C178" t="s">
        <v>426</v>
      </c>
      <c r="D178" t="s">
        <v>426</v>
      </c>
      <c r="E178" t="s">
        <v>426</v>
      </c>
      <c r="F178" t="s">
        <v>426</v>
      </c>
      <c r="G178" t="s">
        <v>426</v>
      </c>
      <c r="H178" t="s">
        <v>432</v>
      </c>
      <c r="I178" t="s">
        <v>441</v>
      </c>
      <c r="J178" t="s">
        <v>424</v>
      </c>
      <c r="K178" t="s">
        <v>526</v>
      </c>
    </row>
    <row r="179" spans="1:11" x14ac:dyDescent="0.25">
      <c r="A179" t="s">
        <v>327</v>
      </c>
      <c r="B179" t="s">
        <v>34</v>
      </c>
      <c r="C179" t="s">
        <v>492</v>
      </c>
      <c r="D179" t="s">
        <v>438</v>
      </c>
      <c r="E179" t="s">
        <v>451</v>
      </c>
      <c r="F179" t="s">
        <v>432</v>
      </c>
      <c r="G179" t="s">
        <v>525</v>
      </c>
      <c r="H179" t="s">
        <v>426</v>
      </c>
      <c r="I179" t="s">
        <v>426</v>
      </c>
      <c r="J179" t="s">
        <v>426</v>
      </c>
      <c r="K179" t="s">
        <v>426</v>
      </c>
    </row>
    <row r="180" spans="1:11" x14ac:dyDescent="0.25">
      <c r="A180" t="s">
        <v>328</v>
      </c>
      <c r="B180" t="s">
        <v>89</v>
      </c>
      <c r="C180" t="s">
        <v>426</v>
      </c>
      <c r="D180" t="s">
        <v>426</v>
      </c>
      <c r="E180" t="s">
        <v>426</v>
      </c>
      <c r="F180" t="s">
        <v>426</v>
      </c>
      <c r="G180" t="s">
        <v>426</v>
      </c>
      <c r="H180" t="s">
        <v>432</v>
      </c>
      <c r="I180" t="s">
        <v>77</v>
      </c>
      <c r="J180" t="s">
        <v>430</v>
      </c>
      <c r="K180" t="s">
        <v>444</v>
      </c>
    </row>
    <row r="181" spans="1:11" x14ac:dyDescent="0.25">
      <c r="A181" t="s">
        <v>329</v>
      </c>
      <c r="B181" t="s">
        <v>53</v>
      </c>
      <c r="C181" t="s">
        <v>428</v>
      </c>
      <c r="D181" t="s">
        <v>103</v>
      </c>
      <c r="E181" t="s">
        <v>429</v>
      </c>
      <c r="F181" t="s">
        <v>424</v>
      </c>
      <c r="G181" t="s">
        <v>459</v>
      </c>
      <c r="H181" t="s">
        <v>426</v>
      </c>
      <c r="I181" t="s">
        <v>426</v>
      </c>
      <c r="J181" t="s">
        <v>426</v>
      </c>
      <c r="K181" t="s">
        <v>426</v>
      </c>
    </row>
    <row r="182" spans="1:11" x14ac:dyDescent="0.25">
      <c r="A182" t="s">
        <v>330</v>
      </c>
      <c r="B182" t="s">
        <v>68</v>
      </c>
      <c r="C182" t="s">
        <v>426</v>
      </c>
      <c r="D182" t="s">
        <v>426</v>
      </c>
      <c r="E182" t="s">
        <v>426</v>
      </c>
      <c r="F182" t="s">
        <v>426</v>
      </c>
      <c r="G182" t="s">
        <v>426</v>
      </c>
      <c r="H182" t="s">
        <v>432</v>
      </c>
      <c r="I182" t="s">
        <v>433</v>
      </c>
      <c r="J182" t="s">
        <v>430</v>
      </c>
      <c r="K182" t="s">
        <v>434</v>
      </c>
    </row>
    <row r="183" spans="1:11" x14ac:dyDescent="0.25">
      <c r="A183" t="s">
        <v>331</v>
      </c>
      <c r="B183" t="s">
        <v>95</v>
      </c>
      <c r="C183" t="s">
        <v>507</v>
      </c>
      <c r="D183" t="s">
        <v>446</v>
      </c>
      <c r="E183" t="s">
        <v>434</v>
      </c>
      <c r="F183" t="s">
        <v>424</v>
      </c>
      <c r="G183" t="s">
        <v>478</v>
      </c>
      <c r="H183" t="s">
        <v>426</v>
      </c>
      <c r="I183" t="s">
        <v>426</v>
      </c>
      <c r="J183" t="s">
        <v>426</v>
      </c>
      <c r="K183" t="s">
        <v>426</v>
      </c>
    </row>
    <row r="184" spans="1:11" x14ac:dyDescent="0.25">
      <c r="A184" t="s">
        <v>332</v>
      </c>
      <c r="B184" t="s">
        <v>107</v>
      </c>
      <c r="C184" t="s">
        <v>426</v>
      </c>
      <c r="D184" t="s">
        <v>426</v>
      </c>
      <c r="E184" t="s">
        <v>426</v>
      </c>
      <c r="F184" t="s">
        <v>426</v>
      </c>
      <c r="G184" t="s">
        <v>426</v>
      </c>
      <c r="H184" t="s">
        <v>432</v>
      </c>
      <c r="I184" t="s">
        <v>93</v>
      </c>
      <c r="J184" t="s">
        <v>439</v>
      </c>
      <c r="K184" t="s">
        <v>473</v>
      </c>
    </row>
    <row r="185" spans="1:11" x14ac:dyDescent="0.25">
      <c r="A185" t="s">
        <v>333</v>
      </c>
      <c r="B185" t="s">
        <v>111</v>
      </c>
      <c r="C185" t="s">
        <v>508</v>
      </c>
      <c r="D185" t="s">
        <v>428</v>
      </c>
      <c r="E185" t="s">
        <v>451</v>
      </c>
      <c r="F185" t="s">
        <v>432</v>
      </c>
      <c r="G185" t="s">
        <v>484</v>
      </c>
      <c r="H185" t="s">
        <v>426</v>
      </c>
      <c r="I185" t="s">
        <v>426</v>
      </c>
      <c r="J185" t="s">
        <v>426</v>
      </c>
      <c r="K185" t="s">
        <v>426</v>
      </c>
    </row>
    <row r="186" spans="1:11" x14ac:dyDescent="0.25">
      <c r="A186" t="s">
        <v>334</v>
      </c>
      <c r="B186" t="s">
        <v>16</v>
      </c>
      <c r="C186" t="s">
        <v>426</v>
      </c>
      <c r="D186" t="s">
        <v>426</v>
      </c>
      <c r="E186" t="s">
        <v>426</v>
      </c>
      <c r="F186" t="s">
        <v>426</v>
      </c>
      <c r="G186" t="s">
        <v>426</v>
      </c>
      <c r="H186" t="s">
        <v>432</v>
      </c>
      <c r="I186" t="s">
        <v>30</v>
      </c>
      <c r="J186" t="s">
        <v>424</v>
      </c>
      <c r="K186" t="s">
        <v>455</v>
      </c>
    </row>
    <row r="187" spans="1:11" x14ac:dyDescent="0.25">
      <c r="A187" t="s">
        <v>335</v>
      </c>
      <c r="B187" t="s">
        <v>51</v>
      </c>
      <c r="C187" t="s">
        <v>426</v>
      </c>
      <c r="D187" t="s">
        <v>426</v>
      </c>
      <c r="E187" t="s">
        <v>426</v>
      </c>
      <c r="F187" t="s">
        <v>426</v>
      </c>
      <c r="G187" t="s">
        <v>426</v>
      </c>
      <c r="H187" t="s">
        <v>432</v>
      </c>
      <c r="I187" t="s">
        <v>77</v>
      </c>
      <c r="J187" t="s">
        <v>430</v>
      </c>
      <c r="K187" t="s">
        <v>444</v>
      </c>
    </row>
    <row r="188" spans="1:11" x14ac:dyDescent="0.25">
      <c r="A188" t="s">
        <v>336</v>
      </c>
      <c r="B188" t="s">
        <v>21</v>
      </c>
      <c r="C188" t="s">
        <v>477</v>
      </c>
      <c r="D188" t="s">
        <v>93</v>
      </c>
      <c r="E188" t="s">
        <v>423</v>
      </c>
      <c r="F188" t="s">
        <v>430</v>
      </c>
      <c r="G188" t="s">
        <v>506</v>
      </c>
      <c r="H188" t="s">
        <v>426</v>
      </c>
      <c r="I188" t="s">
        <v>426</v>
      </c>
      <c r="J188" t="s">
        <v>426</v>
      </c>
      <c r="K188" t="s">
        <v>426</v>
      </c>
    </row>
    <row r="189" spans="1:11" x14ac:dyDescent="0.25">
      <c r="A189" t="s">
        <v>337</v>
      </c>
      <c r="B189" t="s">
        <v>101</v>
      </c>
      <c r="C189" t="s">
        <v>426</v>
      </c>
      <c r="D189" t="s">
        <v>426</v>
      </c>
      <c r="E189" t="s">
        <v>426</v>
      </c>
      <c r="F189" t="s">
        <v>426</v>
      </c>
      <c r="G189" t="s">
        <v>426</v>
      </c>
      <c r="H189" t="s">
        <v>432</v>
      </c>
      <c r="I189" t="s">
        <v>77</v>
      </c>
      <c r="J189" t="s">
        <v>424</v>
      </c>
      <c r="K189" t="s">
        <v>444</v>
      </c>
    </row>
    <row r="190" spans="1:11" x14ac:dyDescent="0.25">
      <c r="A190" t="s">
        <v>338</v>
      </c>
      <c r="B190" t="s">
        <v>8</v>
      </c>
      <c r="C190" t="s">
        <v>470</v>
      </c>
      <c r="D190" t="s">
        <v>438</v>
      </c>
      <c r="E190" t="s">
        <v>434</v>
      </c>
      <c r="F190" t="s">
        <v>424</v>
      </c>
      <c r="G190" t="s">
        <v>471</v>
      </c>
      <c r="H190" t="s">
        <v>426</v>
      </c>
      <c r="I190" t="s">
        <v>426</v>
      </c>
      <c r="J190" t="s">
        <v>426</v>
      </c>
      <c r="K190" t="s">
        <v>426</v>
      </c>
    </row>
    <row r="191" spans="1:11" x14ac:dyDescent="0.25">
      <c r="A191" t="s">
        <v>339</v>
      </c>
      <c r="B191" t="s">
        <v>37</v>
      </c>
      <c r="C191" t="s">
        <v>426</v>
      </c>
      <c r="D191" t="s">
        <v>426</v>
      </c>
      <c r="E191" t="s">
        <v>426</v>
      </c>
      <c r="F191" t="s">
        <v>426</v>
      </c>
      <c r="G191" t="s">
        <v>426</v>
      </c>
      <c r="H191" t="s">
        <v>432</v>
      </c>
      <c r="I191" t="s">
        <v>433</v>
      </c>
      <c r="J191" t="s">
        <v>430</v>
      </c>
      <c r="K191" t="s">
        <v>434</v>
      </c>
    </row>
    <row r="192" spans="1:11" x14ac:dyDescent="0.25">
      <c r="A192" t="s">
        <v>340</v>
      </c>
      <c r="B192" t="s">
        <v>59</v>
      </c>
      <c r="C192" t="s">
        <v>445</v>
      </c>
      <c r="D192" t="s">
        <v>446</v>
      </c>
      <c r="E192" t="s">
        <v>423</v>
      </c>
      <c r="F192" t="s">
        <v>424</v>
      </c>
      <c r="G192" t="s">
        <v>447</v>
      </c>
      <c r="H192" t="s">
        <v>426</v>
      </c>
      <c r="I192" t="s">
        <v>426</v>
      </c>
      <c r="J192" t="s">
        <v>426</v>
      </c>
      <c r="K192" t="s">
        <v>426</v>
      </c>
    </row>
    <row r="193" spans="1:11" x14ac:dyDescent="0.25">
      <c r="A193" t="s">
        <v>341</v>
      </c>
      <c r="B193" t="s">
        <v>84</v>
      </c>
      <c r="C193" t="s">
        <v>435</v>
      </c>
      <c r="D193" t="s">
        <v>428</v>
      </c>
      <c r="E193" t="s">
        <v>436</v>
      </c>
      <c r="F193" t="s">
        <v>432</v>
      </c>
      <c r="G193" t="s">
        <v>527</v>
      </c>
      <c r="H193" t="s">
        <v>426</v>
      </c>
      <c r="I193" t="s">
        <v>426</v>
      </c>
      <c r="J193" t="s">
        <v>426</v>
      </c>
      <c r="K193" t="s">
        <v>426</v>
      </c>
    </row>
    <row r="194" spans="1:11" x14ac:dyDescent="0.25">
      <c r="A194" t="s">
        <v>342</v>
      </c>
      <c r="B194" t="s">
        <v>91</v>
      </c>
      <c r="C194" t="s">
        <v>426</v>
      </c>
      <c r="D194" t="s">
        <v>426</v>
      </c>
      <c r="E194" t="s">
        <v>426</v>
      </c>
      <c r="F194" t="s">
        <v>426</v>
      </c>
      <c r="G194" t="s">
        <v>426</v>
      </c>
      <c r="H194" t="s">
        <v>432</v>
      </c>
      <c r="I194" t="s">
        <v>103</v>
      </c>
      <c r="J194" t="s">
        <v>430</v>
      </c>
      <c r="K194" t="s">
        <v>456</v>
      </c>
    </row>
    <row r="195" spans="1:11" x14ac:dyDescent="0.25">
      <c r="A195" t="s">
        <v>343</v>
      </c>
      <c r="B195" t="s">
        <v>95</v>
      </c>
      <c r="C195" t="s">
        <v>492</v>
      </c>
      <c r="D195" t="s">
        <v>438</v>
      </c>
      <c r="E195" t="s">
        <v>451</v>
      </c>
      <c r="F195" t="s">
        <v>424</v>
      </c>
      <c r="G195" t="s">
        <v>525</v>
      </c>
      <c r="H195" t="s">
        <v>426</v>
      </c>
      <c r="I195" t="s">
        <v>426</v>
      </c>
      <c r="J195" t="s">
        <v>426</v>
      </c>
      <c r="K195" t="s">
        <v>426</v>
      </c>
    </row>
    <row r="196" spans="1:11" x14ac:dyDescent="0.25">
      <c r="A196" t="s">
        <v>344</v>
      </c>
      <c r="B196" t="s">
        <v>47</v>
      </c>
      <c r="C196" t="s">
        <v>438</v>
      </c>
      <c r="D196" t="s">
        <v>103</v>
      </c>
      <c r="E196" t="s">
        <v>432</v>
      </c>
      <c r="F196" t="s">
        <v>430</v>
      </c>
      <c r="G196" t="s">
        <v>454</v>
      </c>
      <c r="H196" t="s">
        <v>426</v>
      </c>
      <c r="I196" t="s">
        <v>426</v>
      </c>
      <c r="J196" t="s">
        <v>426</v>
      </c>
      <c r="K196" t="s">
        <v>426</v>
      </c>
    </row>
    <row r="197" spans="1:11" x14ac:dyDescent="0.25">
      <c r="A197" t="s">
        <v>345</v>
      </c>
      <c r="B197" t="s">
        <v>66</v>
      </c>
      <c r="C197" t="s">
        <v>93</v>
      </c>
      <c r="D197" t="s">
        <v>487</v>
      </c>
      <c r="E197" t="s">
        <v>432</v>
      </c>
      <c r="F197" t="s">
        <v>430</v>
      </c>
      <c r="G197" t="s">
        <v>478</v>
      </c>
      <c r="H197" t="s">
        <v>432</v>
      </c>
      <c r="I197" t="s">
        <v>77</v>
      </c>
      <c r="J197" t="s">
        <v>430</v>
      </c>
      <c r="K197" t="s">
        <v>444</v>
      </c>
    </row>
    <row r="198" spans="1:11" x14ac:dyDescent="0.25">
      <c r="A198" t="s">
        <v>346</v>
      </c>
      <c r="B198" t="s">
        <v>68</v>
      </c>
      <c r="C198" t="s">
        <v>426</v>
      </c>
      <c r="D198" t="s">
        <v>426</v>
      </c>
      <c r="E198" t="s">
        <v>426</v>
      </c>
      <c r="F198" t="s">
        <v>426</v>
      </c>
      <c r="G198" t="s">
        <v>426</v>
      </c>
      <c r="H198" t="s">
        <v>432</v>
      </c>
      <c r="I198" t="s">
        <v>103</v>
      </c>
      <c r="J198" t="s">
        <v>430</v>
      </c>
      <c r="K198" t="s">
        <v>456</v>
      </c>
    </row>
    <row r="199" spans="1:11" x14ac:dyDescent="0.25">
      <c r="A199" t="s">
        <v>347</v>
      </c>
      <c r="B199" t="s">
        <v>34</v>
      </c>
      <c r="C199" t="s">
        <v>497</v>
      </c>
      <c r="D199" t="s">
        <v>428</v>
      </c>
      <c r="E199" t="s">
        <v>479</v>
      </c>
      <c r="F199" t="s">
        <v>432</v>
      </c>
      <c r="G199" t="s">
        <v>454</v>
      </c>
      <c r="H199" t="s">
        <v>426</v>
      </c>
      <c r="I199" t="s">
        <v>426</v>
      </c>
      <c r="J199" t="s">
        <v>426</v>
      </c>
      <c r="K199" t="s">
        <v>426</v>
      </c>
    </row>
    <row r="200" spans="1:11" x14ac:dyDescent="0.25">
      <c r="A200" t="s">
        <v>348</v>
      </c>
      <c r="B200" t="s">
        <v>41</v>
      </c>
      <c r="C200" t="s">
        <v>428</v>
      </c>
      <c r="D200" t="s">
        <v>77</v>
      </c>
      <c r="E200" t="s">
        <v>429</v>
      </c>
      <c r="F200" t="s">
        <v>430</v>
      </c>
      <c r="G200" t="s">
        <v>471</v>
      </c>
      <c r="H200" t="s">
        <v>426</v>
      </c>
      <c r="I200" t="s">
        <v>426</v>
      </c>
      <c r="J200" t="s">
        <v>426</v>
      </c>
      <c r="K200" t="s">
        <v>426</v>
      </c>
    </row>
    <row r="201" spans="1:11" x14ac:dyDescent="0.25">
      <c r="A201" t="s">
        <v>349</v>
      </c>
      <c r="B201" t="s">
        <v>117</v>
      </c>
      <c r="C201" t="s">
        <v>492</v>
      </c>
      <c r="D201" t="s">
        <v>438</v>
      </c>
      <c r="E201" t="s">
        <v>451</v>
      </c>
      <c r="F201" t="s">
        <v>424</v>
      </c>
      <c r="G201" t="s">
        <v>525</v>
      </c>
      <c r="H201" t="s">
        <v>426</v>
      </c>
      <c r="I201" t="s">
        <v>426</v>
      </c>
      <c r="J201" t="s">
        <v>426</v>
      </c>
      <c r="K201" t="s">
        <v>426</v>
      </c>
    </row>
    <row r="202" spans="1:11" x14ac:dyDescent="0.25">
      <c r="A202" t="s">
        <v>350</v>
      </c>
      <c r="B202" t="s">
        <v>119</v>
      </c>
      <c r="C202" t="s">
        <v>477</v>
      </c>
      <c r="D202" t="s">
        <v>93</v>
      </c>
      <c r="E202" t="s">
        <v>423</v>
      </c>
      <c r="F202" t="s">
        <v>424</v>
      </c>
      <c r="G202" t="s">
        <v>506</v>
      </c>
      <c r="H202" t="s">
        <v>426</v>
      </c>
      <c r="I202" t="s">
        <v>426</v>
      </c>
      <c r="J202" t="s">
        <v>426</v>
      </c>
      <c r="K202" t="s">
        <v>426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B265B-9AC7-407B-A157-718C31778FB9}">
  <dimension ref="A3:N40"/>
  <sheetViews>
    <sheetView topLeftCell="A2" zoomScale="85" zoomScaleNormal="85" workbookViewId="0">
      <selection activeCell="A9" sqref="A3:D13"/>
    </sheetView>
  </sheetViews>
  <sheetFormatPr defaultRowHeight="15" x14ac:dyDescent="0.25"/>
  <cols>
    <col min="1" max="1" width="33.5703125" bestFit="1" customWidth="1"/>
    <col min="2" max="2" width="17.7109375" bestFit="1" customWidth="1"/>
    <col min="3" max="3" width="11" bestFit="1" customWidth="1"/>
    <col min="4" max="4" width="10.7109375" bestFit="1" customWidth="1"/>
    <col min="5" max="5" width="13.7109375" bestFit="1" customWidth="1"/>
    <col min="8" max="8" width="33.5703125" bestFit="1" customWidth="1"/>
    <col min="9" max="9" width="10.7109375" bestFit="1" customWidth="1"/>
    <col min="13" max="13" width="15" bestFit="1" customWidth="1"/>
    <col min="14" max="14" width="10.7109375" bestFit="1" customWidth="1"/>
  </cols>
  <sheetData>
    <row r="3" spans="1:14" x14ac:dyDescent="0.25">
      <c r="A3" s="1" t="s">
        <v>583</v>
      </c>
      <c r="B3" t="s">
        <v>580</v>
      </c>
      <c r="C3" t="s">
        <v>581</v>
      </c>
      <c r="D3" t="s">
        <v>582</v>
      </c>
      <c r="H3" s="1" t="s">
        <v>584</v>
      </c>
      <c r="I3" t="s">
        <v>582</v>
      </c>
      <c r="M3" s="1" t="s">
        <v>584</v>
      </c>
      <c r="N3" t="s">
        <v>582</v>
      </c>
    </row>
    <row r="4" spans="1:14" x14ac:dyDescent="0.25">
      <c r="A4" s="2" t="s">
        <v>133</v>
      </c>
      <c r="B4" s="7">
        <v>8</v>
      </c>
      <c r="C4" s="3">
        <v>5</v>
      </c>
      <c r="D4" s="3">
        <v>2869</v>
      </c>
      <c r="H4" s="2" t="s">
        <v>133</v>
      </c>
      <c r="I4" s="7">
        <v>2869</v>
      </c>
      <c r="M4" s="2" t="s">
        <v>587</v>
      </c>
      <c r="N4" s="7">
        <v>13297</v>
      </c>
    </row>
    <row r="5" spans="1:14" x14ac:dyDescent="0.25">
      <c r="A5" s="2" t="s">
        <v>151</v>
      </c>
      <c r="B5" s="7">
        <v>7</v>
      </c>
      <c r="C5" s="3">
        <v>2</v>
      </c>
      <c r="D5" s="3">
        <v>2420</v>
      </c>
      <c r="H5" s="2" t="s">
        <v>151</v>
      </c>
      <c r="I5" s="7">
        <v>2420</v>
      </c>
      <c r="M5" s="2" t="s">
        <v>588</v>
      </c>
      <c r="N5" s="7">
        <v>7647</v>
      </c>
    </row>
    <row r="6" spans="1:14" x14ac:dyDescent="0.25">
      <c r="A6" s="2" t="s">
        <v>145</v>
      </c>
      <c r="B6" s="7">
        <v>8</v>
      </c>
      <c r="C6" s="3">
        <v>4</v>
      </c>
      <c r="D6" s="3">
        <v>2788</v>
      </c>
      <c r="H6" s="2" t="s">
        <v>145</v>
      </c>
      <c r="I6" s="7">
        <v>2788</v>
      </c>
      <c r="M6" s="2" t="s">
        <v>579</v>
      </c>
      <c r="N6" s="7">
        <v>20944</v>
      </c>
    </row>
    <row r="7" spans="1:14" x14ac:dyDescent="0.25">
      <c r="A7" s="2" t="s">
        <v>127</v>
      </c>
      <c r="B7" s="7">
        <v>8</v>
      </c>
      <c r="C7" s="3">
        <v>4</v>
      </c>
      <c r="D7" s="3">
        <v>2735</v>
      </c>
      <c r="H7" s="2" t="s">
        <v>127</v>
      </c>
      <c r="I7" s="7">
        <v>2735</v>
      </c>
    </row>
    <row r="8" spans="1:14" x14ac:dyDescent="0.25">
      <c r="A8" s="2" t="s">
        <v>163</v>
      </c>
      <c r="B8" s="7">
        <v>7</v>
      </c>
      <c r="C8" s="3">
        <v>2</v>
      </c>
      <c r="D8" s="3">
        <v>2458</v>
      </c>
      <c r="H8" s="2" t="s">
        <v>163</v>
      </c>
      <c r="I8" s="7">
        <v>2458</v>
      </c>
    </row>
    <row r="9" spans="1:14" x14ac:dyDescent="0.25">
      <c r="A9" s="2" t="s">
        <v>157</v>
      </c>
      <c r="B9" s="7">
        <v>7</v>
      </c>
      <c r="C9" s="3">
        <v>4</v>
      </c>
      <c r="D9" s="3">
        <v>2318</v>
      </c>
      <c r="H9" s="2" t="s">
        <v>157</v>
      </c>
      <c r="I9" s="7">
        <v>2318</v>
      </c>
    </row>
    <row r="10" spans="1:14" x14ac:dyDescent="0.25">
      <c r="A10" s="2" t="s">
        <v>139</v>
      </c>
      <c r="B10" s="7">
        <v>7</v>
      </c>
      <c r="C10" s="3">
        <v>4</v>
      </c>
      <c r="D10" s="3">
        <v>2600</v>
      </c>
      <c r="H10" s="2" t="s">
        <v>139</v>
      </c>
      <c r="I10" s="7">
        <v>2600</v>
      </c>
    </row>
    <row r="11" spans="1:14" x14ac:dyDescent="0.25">
      <c r="A11" s="2" t="s">
        <v>169</v>
      </c>
      <c r="B11" s="7">
        <v>8</v>
      </c>
      <c r="C11" s="3">
        <v>5</v>
      </c>
      <c r="D11" s="3">
        <v>2756</v>
      </c>
      <c r="H11" s="2" t="s">
        <v>169</v>
      </c>
      <c r="I11" s="7">
        <v>2756</v>
      </c>
    </row>
    <row r="12" spans="1:14" x14ac:dyDescent="0.25">
      <c r="A12" s="2" t="s">
        <v>589</v>
      </c>
      <c r="B12" s="7"/>
      <c r="C12" s="3">
        <v>0</v>
      </c>
      <c r="D12" s="3"/>
      <c r="H12" s="2" t="s">
        <v>579</v>
      </c>
      <c r="I12" s="7">
        <v>20944</v>
      </c>
    </row>
    <row r="13" spans="1:14" x14ac:dyDescent="0.25">
      <c r="A13" s="2" t="s">
        <v>579</v>
      </c>
      <c r="B13" s="7">
        <v>60</v>
      </c>
      <c r="C13" s="3">
        <v>0</v>
      </c>
      <c r="D13" s="3">
        <v>20944</v>
      </c>
    </row>
    <row r="15" spans="1:14" x14ac:dyDescent="0.25">
      <c r="A15" s="3"/>
    </row>
    <row r="16" spans="1:14" x14ac:dyDescent="0.25">
      <c r="A16" s="1" t="s">
        <v>584</v>
      </c>
      <c r="B16" t="s">
        <v>581</v>
      </c>
    </row>
    <row r="17" spans="1:2" x14ac:dyDescent="0.25">
      <c r="A17" s="2" t="s">
        <v>133</v>
      </c>
      <c r="B17" s="3">
        <v>5</v>
      </c>
    </row>
    <row r="18" spans="1:2" x14ac:dyDescent="0.25">
      <c r="A18" s="2" t="s">
        <v>151</v>
      </c>
      <c r="B18" s="3">
        <v>2</v>
      </c>
    </row>
    <row r="19" spans="1:2" x14ac:dyDescent="0.25">
      <c r="A19" s="2" t="s">
        <v>145</v>
      </c>
      <c r="B19" s="3">
        <v>4</v>
      </c>
    </row>
    <row r="20" spans="1:2" x14ac:dyDescent="0.25">
      <c r="A20" s="2" t="s">
        <v>127</v>
      </c>
      <c r="B20" s="3">
        <v>4</v>
      </c>
    </row>
    <row r="21" spans="1:2" x14ac:dyDescent="0.25">
      <c r="A21" s="2" t="s">
        <v>163</v>
      </c>
      <c r="B21" s="3">
        <v>2</v>
      </c>
    </row>
    <row r="22" spans="1:2" x14ac:dyDescent="0.25">
      <c r="A22" s="2" t="s">
        <v>157</v>
      </c>
      <c r="B22" s="3">
        <v>4</v>
      </c>
    </row>
    <row r="23" spans="1:2" x14ac:dyDescent="0.25">
      <c r="A23" s="2" t="s">
        <v>139</v>
      </c>
      <c r="B23" s="3">
        <v>4</v>
      </c>
    </row>
    <row r="24" spans="1:2" x14ac:dyDescent="0.25">
      <c r="A24" s="2" t="s">
        <v>169</v>
      </c>
      <c r="B24" s="3">
        <v>5</v>
      </c>
    </row>
    <row r="25" spans="1:2" x14ac:dyDescent="0.25">
      <c r="A25" s="2" t="s">
        <v>589</v>
      </c>
      <c r="B25" s="3">
        <v>0</v>
      </c>
    </row>
    <row r="26" spans="1:2" x14ac:dyDescent="0.25">
      <c r="A26" s="2" t="s">
        <v>579</v>
      </c>
      <c r="B26" s="3">
        <v>0</v>
      </c>
    </row>
    <row r="28" spans="1:2" x14ac:dyDescent="0.25">
      <c r="A28" s="1" t="s">
        <v>586</v>
      </c>
      <c r="B28" t="s">
        <v>585</v>
      </c>
    </row>
    <row r="29" spans="1:2" x14ac:dyDescent="0.25">
      <c r="A29" s="2" t="s">
        <v>154</v>
      </c>
      <c r="B29" s="7">
        <v>8</v>
      </c>
    </row>
    <row r="30" spans="1:2" x14ac:dyDescent="0.25">
      <c r="A30" s="2" t="s">
        <v>198</v>
      </c>
      <c r="B30" s="7">
        <v>8</v>
      </c>
    </row>
    <row r="31" spans="1:2" x14ac:dyDescent="0.25">
      <c r="A31" s="2" t="s">
        <v>148</v>
      </c>
      <c r="B31" s="7">
        <v>8</v>
      </c>
    </row>
    <row r="32" spans="1:2" x14ac:dyDescent="0.25">
      <c r="A32" s="2" t="s">
        <v>136</v>
      </c>
      <c r="B32" s="7">
        <v>8</v>
      </c>
    </row>
    <row r="33" spans="1:2" x14ac:dyDescent="0.25">
      <c r="A33" s="2" t="s">
        <v>142</v>
      </c>
      <c r="B33" s="7">
        <v>8</v>
      </c>
    </row>
    <row r="34" spans="1:2" x14ac:dyDescent="0.25">
      <c r="A34" s="2" t="s">
        <v>166</v>
      </c>
      <c r="B34" s="7">
        <v>8</v>
      </c>
    </row>
    <row r="35" spans="1:2" x14ac:dyDescent="0.25">
      <c r="A35" s="2" t="s">
        <v>194</v>
      </c>
      <c r="B35" s="7">
        <v>8</v>
      </c>
    </row>
    <row r="36" spans="1:2" x14ac:dyDescent="0.25">
      <c r="A36" s="2" t="s">
        <v>172</v>
      </c>
      <c r="B36" s="7">
        <v>8</v>
      </c>
    </row>
    <row r="37" spans="1:2" x14ac:dyDescent="0.25">
      <c r="A37" s="2" t="s">
        <v>160</v>
      </c>
      <c r="B37" s="7">
        <v>8</v>
      </c>
    </row>
    <row r="38" spans="1:2" x14ac:dyDescent="0.25">
      <c r="A38" s="2" t="s">
        <v>130</v>
      </c>
      <c r="B38" s="7">
        <v>8</v>
      </c>
    </row>
    <row r="39" spans="1:2" x14ac:dyDescent="0.25">
      <c r="A39" s="2" t="s">
        <v>589</v>
      </c>
      <c r="B39" s="7">
        <v>8</v>
      </c>
    </row>
    <row r="40" spans="1:2" x14ac:dyDescent="0.25">
      <c r="A40" s="2" t="s">
        <v>579</v>
      </c>
      <c r="B40" s="7">
        <v>8</v>
      </c>
    </row>
  </sheetData>
  <pageMargins left="0.7" right="0.7" top="0.75" bottom="0.75" header="0.3" footer="0.3"/>
  <pageSetup orientation="portrait" r:id="rId6"/>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851F7-1182-4A0D-B09B-807AC03434C1}">
  <dimension ref="A3:X75"/>
  <sheetViews>
    <sheetView tabSelected="1" topLeftCell="O1" zoomScale="76" workbookViewId="0">
      <selection activeCell="V26" sqref="V26"/>
    </sheetView>
  </sheetViews>
  <sheetFormatPr defaultRowHeight="15" x14ac:dyDescent="0.25"/>
  <cols>
    <col min="1" max="1" width="22" bestFit="1" customWidth="1"/>
    <col min="2" max="2" width="13.5703125" bestFit="1" customWidth="1"/>
    <col min="3" max="7" width="9.5703125" bestFit="1" customWidth="1"/>
    <col min="8" max="8" width="9.42578125" bestFit="1" customWidth="1"/>
    <col min="15" max="15" width="22" bestFit="1" customWidth="1"/>
    <col min="16" max="21" width="9.5703125" bestFit="1" customWidth="1"/>
    <col min="22" max="22" width="22" bestFit="1" customWidth="1"/>
    <col min="23" max="23" width="11.28515625" bestFit="1" customWidth="1"/>
    <col min="24" max="24" width="23.42578125" bestFit="1" customWidth="1"/>
    <col min="25" max="28" width="9.5703125" bestFit="1" customWidth="1"/>
  </cols>
  <sheetData>
    <row r="3" spans="1:24" x14ac:dyDescent="0.25">
      <c r="A3" s="1" t="s">
        <v>583</v>
      </c>
      <c r="B3" t="s">
        <v>590</v>
      </c>
      <c r="C3" t="s">
        <v>593</v>
      </c>
      <c r="D3" t="s">
        <v>206</v>
      </c>
      <c r="E3" t="s">
        <v>207</v>
      </c>
      <c r="F3" t="s">
        <v>208</v>
      </c>
      <c r="G3" t="s">
        <v>592</v>
      </c>
      <c r="H3" t="s">
        <v>591</v>
      </c>
      <c r="J3" s="6" t="s">
        <v>583</v>
      </c>
      <c r="K3" s="6" t="s">
        <v>590</v>
      </c>
      <c r="V3" s="1" t="s">
        <v>583</v>
      </c>
      <c r="W3" t="s">
        <v>206</v>
      </c>
      <c r="X3" t="s">
        <v>594</v>
      </c>
    </row>
    <row r="4" spans="1:24" x14ac:dyDescent="0.25">
      <c r="A4" s="2" t="s">
        <v>112</v>
      </c>
      <c r="B4" s="7">
        <v>440</v>
      </c>
      <c r="C4" s="7">
        <v>265</v>
      </c>
      <c r="D4" s="7">
        <v>1138.2499999999991</v>
      </c>
      <c r="E4" s="7">
        <v>0</v>
      </c>
      <c r="F4" s="7">
        <v>0</v>
      </c>
      <c r="G4" s="7">
        <v>0</v>
      </c>
      <c r="H4" s="7">
        <v>0</v>
      </c>
      <c r="J4" s="8" t="s">
        <v>112</v>
      </c>
      <c r="K4" s="9">
        <v>440</v>
      </c>
      <c r="V4" s="2" t="s">
        <v>112</v>
      </c>
      <c r="W4" s="7">
        <v>1138.2499999999991</v>
      </c>
      <c r="X4" s="12">
        <v>162.60714285714272</v>
      </c>
    </row>
    <row r="5" spans="1:24" x14ac:dyDescent="0.25">
      <c r="A5" s="2" t="s">
        <v>64</v>
      </c>
      <c r="B5" s="7">
        <v>368</v>
      </c>
      <c r="C5" s="7">
        <v>194</v>
      </c>
      <c r="D5" s="7">
        <v>1311.9499999999998</v>
      </c>
      <c r="E5" s="7">
        <v>24</v>
      </c>
      <c r="F5" s="7">
        <v>216</v>
      </c>
      <c r="G5" s="7">
        <v>11</v>
      </c>
      <c r="H5" s="7">
        <v>54</v>
      </c>
      <c r="J5" s="8" t="s">
        <v>64</v>
      </c>
      <c r="K5" s="9">
        <v>368</v>
      </c>
      <c r="V5" s="2" t="s">
        <v>64</v>
      </c>
      <c r="W5" s="7">
        <v>1311.9499999999998</v>
      </c>
      <c r="X5" s="12">
        <v>187.42142857142855</v>
      </c>
    </row>
    <row r="6" spans="1:24" x14ac:dyDescent="0.25">
      <c r="A6" s="2" t="s">
        <v>102</v>
      </c>
      <c r="B6" s="7">
        <v>0</v>
      </c>
      <c r="C6" s="7">
        <v>0</v>
      </c>
      <c r="D6" s="7">
        <v>0</v>
      </c>
      <c r="E6" s="7">
        <v>32</v>
      </c>
      <c r="F6" s="7">
        <v>232</v>
      </c>
      <c r="G6" s="7">
        <v>19</v>
      </c>
      <c r="H6" s="7">
        <v>58</v>
      </c>
      <c r="J6" s="8" t="s">
        <v>102</v>
      </c>
      <c r="K6" s="9">
        <v>0</v>
      </c>
      <c r="V6" s="2" t="s">
        <v>102</v>
      </c>
      <c r="W6" s="7">
        <v>0</v>
      </c>
      <c r="X6" s="12">
        <v>0</v>
      </c>
    </row>
    <row r="7" spans="1:24" x14ac:dyDescent="0.25">
      <c r="A7" s="2" t="s">
        <v>82</v>
      </c>
      <c r="B7" s="7">
        <v>0</v>
      </c>
      <c r="C7" s="7">
        <v>0</v>
      </c>
      <c r="D7" s="7">
        <v>0</v>
      </c>
      <c r="E7" s="7">
        <v>20</v>
      </c>
      <c r="F7" s="7">
        <v>120</v>
      </c>
      <c r="G7" s="7">
        <v>9</v>
      </c>
      <c r="H7" s="7">
        <v>30</v>
      </c>
      <c r="J7" s="8" t="s">
        <v>82</v>
      </c>
      <c r="K7" s="9">
        <v>0</v>
      </c>
      <c r="V7" s="2" t="s">
        <v>82</v>
      </c>
      <c r="W7" s="7">
        <v>0</v>
      </c>
      <c r="X7" s="12">
        <v>0</v>
      </c>
    </row>
    <row r="8" spans="1:24" x14ac:dyDescent="0.25">
      <c r="A8" s="2" t="s">
        <v>116</v>
      </c>
      <c r="B8" s="7">
        <v>0</v>
      </c>
      <c r="C8" s="7">
        <v>0</v>
      </c>
      <c r="D8" s="7">
        <v>0</v>
      </c>
      <c r="E8" s="7">
        <v>16</v>
      </c>
      <c r="F8" s="7">
        <v>130</v>
      </c>
      <c r="G8" s="7">
        <v>6</v>
      </c>
      <c r="H8" s="7">
        <v>32.5</v>
      </c>
      <c r="J8" s="8" t="s">
        <v>116</v>
      </c>
      <c r="K8" s="9">
        <v>0</v>
      </c>
      <c r="V8" s="2" t="s">
        <v>116</v>
      </c>
      <c r="W8" s="7">
        <v>0</v>
      </c>
      <c r="X8" s="12">
        <v>0</v>
      </c>
    </row>
    <row r="9" spans="1:24" x14ac:dyDescent="0.25">
      <c r="A9" s="2" t="s">
        <v>42</v>
      </c>
      <c r="B9" s="7">
        <v>261</v>
      </c>
      <c r="C9" s="7">
        <v>171</v>
      </c>
      <c r="D9" s="7">
        <v>910.16999999999894</v>
      </c>
      <c r="E9" s="7">
        <v>0</v>
      </c>
      <c r="F9" s="7">
        <v>0</v>
      </c>
      <c r="G9" s="7">
        <v>0</v>
      </c>
      <c r="H9" s="7">
        <v>0</v>
      </c>
      <c r="J9" s="8" t="s">
        <v>42</v>
      </c>
      <c r="K9" s="9">
        <v>261</v>
      </c>
      <c r="V9" s="2" t="s">
        <v>42</v>
      </c>
      <c r="W9" s="7">
        <v>910.16999999999894</v>
      </c>
      <c r="X9" s="12">
        <v>151.69499999999982</v>
      </c>
    </row>
    <row r="10" spans="1:24" x14ac:dyDescent="0.25">
      <c r="A10" s="2" t="s">
        <v>72</v>
      </c>
      <c r="B10" s="7">
        <v>300</v>
      </c>
      <c r="C10" s="7">
        <v>205</v>
      </c>
      <c r="D10" s="7">
        <v>852.60999999999899</v>
      </c>
      <c r="E10" s="7">
        <v>0</v>
      </c>
      <c r="F10" s="7">
        <v>0</v>
      </c>
      <c r="G10" s="7">
        <v>0</v>
      </c>
      <c r="H10" s="7">
        <v>0</v>
      </c>
      <c r="J10" s="8" t="s">
        <v>72</v>
      </c>
      <c r="K10" s="9">
        <v>300</v>
      </c>
      <c r="V10" s="2" t="s">
        <v>72</v>
      </c>
      <c r="W10" s="7">
        <v>852.60999999999899</v>
      </c>
      <c r="X10" s="12">
        <v>142.10166666666649</v>
      </c>
    </row>
    <row r="11" spans="1:24" x14ac:dyDescent="0.25">
      <c r="A11" s="2" t="s">
        <v>38</v>
      </c>
      <c r="B11" s="7">
        <v>0</v>
      </c>
      <c r="C11" s="7">
        <v>0</v>
      </c>
      <c r="D11" s="7">
        <v>0</v>
      </c>
      <c r="E11" s="7">
        <v>28</v>
      </c>
      <c r="F11" s="7">
        <v>188</v>
      </c>
      <c r="G11" s="7">
        <v>17</v>
      </c>
      <c r="H11" s="7">
        <v>47</v>
      </c>
      <c r="J11" s="8" t="s">
        <v>38</v>
      </c>
      <c r="K11" s="9">
        <v>0</v>
      </c>
      <c r="V11" s="2" t="s">
        <v>38</v>
      </c>
      <c r="W11" s="7">
        <v>0</v>
      </c>
      <c r="X11" s="12">
        <v>0</v>
      </c>
    </row>
    <row r="12" spans="1:24" x14ac:dyDescent="0.25">
      <c r="A12" s="2" t="s">
        <v>57</v>
      </c>
      <c r="B12" s="7">
        <v>42</v>
      </c>
      <c r="C12" s="7">
        <v>21</v>
      </c>
      <c r="D12" s="7">
        <v>200</v>
      </c>
      <c r="E12" s="7">
        <v>0</v>
      </c>
      <c r="F12" s="7">
        <v>0</v>
      </c>
      <c r="G12" s="7">
        <v>0</v>
      </c>
      <c r="H12" s="7">
        <v>0</v>
      </c>
      <c r="J12" s="8" t="s">
        <v>57</v>
      </c>
      <c r="K12" s="9">
        <v>42</v>
      </c>
      <c r="V12" s="2" t="s">
        <v>57</v>
      </c>
      <c r="W12" s="7">
        <v>200</v>
      </c>
      <c r="X12" s="12">
        <v>200</v>
      </c>
    </row>
    <row r="13" spans="1:24" x14ac:dyDescent="0.25">
      <c r="A13" s="2" t="s">
        <v>54</v>
      </c>
      <c r="B13" s="7">
        <v>151</v>
      </c>
      <c r="C13" s="7">
        <v>85</v>
      </c>
      <c r="D13" s="7">
        <v>535</v>
      </c>
      <c r="E13" s="7">
        <v>4</v>
      </c>
      <c r="F13" s="7">
        <v>28</v>
      </c>
      <c r="G13" s="7">
        <v>2</v>
      </c>
      <c r="H13" s="7">
        <v>7</v>
      </c>
      <c r="J13" s="8" t="s">
        <v>54</v>
      </c>
      <c r="K13" s="9">
        <v>151</v>
      </c>
      <c r="V13" s="2" t="s">
        <v>54</v>
      </c>
      <c r="W13" s="7">
        <v>535</v>
      </c>
      <c r="X13" s="12">
        <v>133.75</v>
      </c>
    </row>
    <row r="14" spans="1:24" x14ac:dyDescent="0.25">
      <c r="A14" s="2" t="s">
        <v>32</v>
      </c>
      <c r="B14" s="7">
        <v>180</v>
      </c>
      <c r="C14" s="7">
        <v>118</v>
      </c>
      <c r="D14" s="7">
        <v>755.55999999999892</v>
      </c>
      <c r="E14" s="7">
        <v>16</v>
      </c>
      <c r="F14" s="7">
        <v>125</v>
      </c>
      <c r="G14" s="7">
        <v>6</v>
      </c>
      <c r="H14" s="7">
        <v>31.25</v>
      </c>
      <c r="J14" s="8" t="s">
        <v>32</v>
      </c>
      <c r="K14" s="9">
        <v>180</v>
      </c>
      <c r="V14" s="2" t="s">
        <v>32</v>
      </c>
      <c r="W14" s="7">
        <v>755.55999999999892</v>
      </c>
      <c r="X14" s="12">
        <v>151.1119999999998</v>
      </c>
    </row>
    <row r="15" spans="1:24" x14ac:dyDescent="0.25">
      <c r="A15" s="2" t="s">
        <v>118</v>
      </c>
      <c r="B15" s="7">
        <v>482</v>
      </c>
      <c r="C15" s="7">
        <v>256</v>
      </c>
      <c r="D15" s="7">
        <v>1334.32</v>
      </c>
      <c r="E15" s="7">
        <v>0</v>
      </c>
      <c r="F15" s="7">
        <v>0</v>
      </c>
      <c r="G15" s="7">
        <v>0</v>
      </c>
      <c r="H15" s="7">
        <v>0</v>
      </c>
      <c r="J15" s="8" t="s">
        <v>118</v>
      </c>
      <c r="K15" s="9">
        <v>482</v>
      </c>
      <c r="V15" s="2" t="s">
        <v>118</v>
      </c>
      <c r="W15" s="7">
        <v>1334.32</v>
      </c>
      <c r="X15" s="12">
        <v>190.61714285714285</v>
      </c>
    </row>
    <row r="16" spans="1:24" x14ac:dyDescent="0.25">
      <c r="A16" s="2" t="s">
        <v>22</v>
      </c>
      <c r="B16" s="7">
        <v>278</v>
      </c>
      <c r="C16" s="7">
        <v>185</v>
      </c>
      <c r="D16" s="7">
        <v>820.95</v>
      </c>
      <c r="E16" s="7">
        <v>0</v>
      </c>
      <c r="F16" s="7">
        <v>0</v>
      </c>
      <c r="G16" s="7">
        <v>0</v>
      </c>
      <c r="H16" s="7">
        <v>0</v>
      </c>
      <c r="J16" s="8" t="s">
        <v>22</v>
      </c>
      <c r="K16" s="9">
        <v>278</v>
      </c>
      <c r="V16" s="2" t="s">
        <v>22</v>
      </c>
      <c r="W16" s="7">
        <v>820.95</v>
      </c>
      <c r="X16" s="12">
        <v>136.82500000000002</v>
      </c>
    </row>
    <row r="17" spans="1:24" x14ac:dyDescent="0.25">
      <c r="A17" s="2" t="s">
        <v>17</v>
      </c>
      <c r="B17" s="7">
        <v>0</v>
      </c>
      <c r="C17" s="7">
        <v>0</v>
      </c>
      <c r="D17" s="7">
        <v>0</v>
      </c>
      <c r="E17" s="7">
        <v>38.4</v>
      </c>
      <c r="F17" s="7">
        <v>267</v>
      </c>
      <c r="G17" s="7">
        <v>25</v>
      </c>
      <c r="H17" s="7">
        <v>69.25</v>
      </c>
      <c r="J17" s="8" t="s">
        <v>17</v>
      </c>
      <c r="K17" s="9">
        <v>0</v>
      </c>
      <c r="V17" s="2" t="s">
        <v>17</v>
      </c>
      <c r="W17" s="7">
        <v>0</v>
      </c>
      <c r="X17" s="12">
        <v>0</v>
      </c>
    </row>
    <row r="18" spans="1:24" x14ac:dyDescent="0.25">
      <c r="A18" s="2" t="s">
        <v>106</v>
      </c>
      <c r="B18" s="7">
        <v>82</v>
      </c>
      <c r="C18" s="7">
        <v>56</v>
      </c>
      <c r="D18" s="7">
        <v>252.38</v>
      </c>
      <c r="E18" s="7">
        <v>0</v>
      </c>
      <c r="F18" s="7">
        <v>0</v>
      </c>
      <c r="G18" s="7">
        <v>0</v>
      </c>
      <c r="H18" s="7">
        <v>0</v>
      </c>
      <c r="J18" s="8" t="s">
        <v>106</v>
      </c>
      <c r="K18" s="9">
        <v>82</v>
      </c>
      <c r="V18" s="2" t="s">
        <v>106</v>
      </c>
      <c r="W18" s="7">
        <v>252.38</v>
      </c>
      <c r="X18" s="12">
        <v>126.19</v>
      </c>
    </row>
    <row r="19" spans="1:24" x14ac:dyDescent="0.25">
      <c r="A19" s="2" t="s">
        <v>85</v>
      </c>
      <c r="B19" s="7">
        <v>597</v>
      </c>
      <c r="C19" s="7">
        <v>347</v>
      </c>
      <c r="D19" s="7">
        <v>1356.7699999999991</v>
      </c>
      <c r="E19" s="7">
        <v>0</v>
      </c>
      <c r="F19" s="7">
        <v>0</v>
      </c>
      <c r="G19" s="7">
        <v>0</v>
      </c>
      <c r="H19" s="7">
        <v>0</v>
      </c>
      <c r="J19" s="8" t="s">
        <v>85</v>
      </c>
      <c r="K19" s="9">
        <v>597</v>
      </c>
      <c r="V19" s="2" t="s">
        <v>85</v>
      </c>
      <c r="W19" s="7">
        <v>1356.7699999999991</v>
      </c>
      <c r="X19" s="12">
        <v>169.59624999999988</v>
      </c>
    </row>
    <row r="20" spans="1:24" x14ac:dyDescent="0.25">
      <c r="A20" s="2" t="s">
        <v>108</v>
      </c>
      <c r="B20" s="7">
        <v>0</v>
      </c>
      <c r="C20" s="7">
        <v>0</v>
      </c>
      <c r="D20" s="7">
        <v>0</v>
      </c>
      <c r="E20" s="7">
        <v>20</v>
      </c>
      <c r="F20" s="7">
        <v>162</v>
      </c>
      <c r="G20" s="7">
        <v>6</v>
      </c>
      <c r="H20" s="7">
        <v>40.5</v>
      </c>
      <c r="J20" s="8" t="s">
        <v>108</v>
      </c>
      <c r="K20" s="9">
        <v>0</v>
      </c>
      <c r="V20" s="2" t="s">
        <v>108</v>
      </c>
      <c r="W20" s="7">
        <v>0</v>
      </c>
      <c r="X20" s="12">
        <v>0</v>
      </c>
    </row>
    <row r="21" spans="1:24" x14ac:dyDescent="0.25">
      <c r="A21" s="2" t="s">
        <v>76</v>
      </c>
      <c r="B21" s="7">
        <v>0</v>
      </c>
      <c r="C21" s="7">
        <v>0</v>
      </c>
      <c r="D21" s="7">
        <v>0</v>
      </c>
      <c r="E21" s="7">
        <v>20</v>
      </c>
      <c r="F21" s="7">
        <v>92</v>
      </c>
      <c r="G21" s="7">
        <v>10</v>
      </c>
      <c r="H21" s="7">
        <v>23</v>
      </c>
      <c r="J21" s="8" t="s">
        <v>76</v>
      </c>
      <c r="K21" s="9">
        <v>0</v>
      </c>
      <c r="V21" s="2" t="s">
        <v>76</v>
      </c>
      <c r="W21" s="7">
        <v>0</v>
      </c>
      <c r="X21" s="12">
        <v>0</v>
      </c>
    </row>
    <row r="22" spans="1:24" x14ac:dyDescent="0.25">
      <c r="A22" s="2" t="s">
        <v>99</v>
      </c>
      <c r="B22" s="7">
        <v>345</v>
      </c>
      <c r="C22" s="7">
        <v>220</v>
      </c>
      <c r="D22" s="7">
        <v>928.69999999999993</v>
      </c>
      <c r="E22" s="7">
        <v>0</v>
      </c>
      <c r="F22" s="7">
        <v>0</v>
      </c>
      <c r="G22" s="7">
        <v>0</v>
      </c>
      <c r="H22" s="7">
        <v>0</v>
      </c>
      <c r="J22" s="8" t="s">
        <v>99</v>
      </c>
      <c r="K22" s="9">
        <v>345</v>
      </c>
      <c r="V22" s="2" t="s">
        <v>99</v>
      </c>
      <c r="W22" s="7">
        <v>928.69999999999993</v>
      </c>
      <c r="X22" s="12">
        <v>154.78333333333333</v>
      </c>
    </row>
    <row r="23" spans="1:24" x14ac:dyDescent="0.25">
      <c r="A23" s="2" t="s">
        <v>45</v>
      </c>
      <c r="B23" s="7">
        <v>0</v>
      </c>
      <c r="C23" s="7">
        <v>0</v>
      </c>
      <c r="D23" s="7">
        <v>0</v>
      </c>
      <c r="E23" s="7">
        <v>4</v>
      </c>
      <c r="F23" s="7">
        <v>21</v>
      </c>
      <c r="G23" s="7">
        <v>3</v>
      </c>
      <c r="H23" s="7">
        <v>5.25</v>
      </c>
      <c r="J23" s="8" t="s">
        <v>45</v>
      </c>
      <c r="K23" s="9">
        <v>0</v>
      </c>
      <c r="V23" s="2" t="s">
        <v>45</v>
      </c>
      <c r="W23" s="7">
        <v>0</v>
      </c>
      <c r="X23" s="12">
        <v>0</v>
      </c>
    </row>
    <row r="24" spans="1:24" x14ac:dyDescent="0.25">
      <c r="A24" s="2" t="s">
        <v>80</v>
      </c>
      <c r="B24" s="7">
        <v>210</v>
      </c>
      <c r="C24" s="7">
        <v>125</v>
      </c>
      <c r="D24" s="7">
        <v>671.43000000000006</v>
      </c>
      <c r="E24" s="7">
        <v>8</v>
      </c>
      <c r="F24" s="7">
        <v>80</v>
      </c>
      <c r="G24" s="7">
        <v>2</v>
      </c>
      <c r="H24" s="7">
        <v>20</v>
      </c>
      <c r="J24" s="8" t="s">
        <v>80</v>
      </c>
      <c r="K24" s="9">
        <v>210</v>
      </c>
      <c r="V24" s="2" t="s">
        <v>80</v>
      </c>
      <c r="W24" s="7">
        <v>671.43000000000006</v>
      </c>
      <c r="X24" s="12">
        <v>111.90500000000002</v>
      </c>
    </row>
    <row r="25" spans="1:24" x14ac:dyDescent="0.25">
      <c r="A25" s="2" t="s">
        <v>52</v>
      </c>
      <c r="B25" s="7">
        <v>25</v>
      </c>
      <c r="C25" s="7">
        <v>18</v>
      </c>
      <c r="D25" s="7">
        <v>138.88999999999899</v>
      </c>
      <c r="E25" s="7">
        <v>20</v>
      </c>
      <c r="F25" s="7">
        <v>165</v>
      </c>
      <c r="G25" s="7">
        <v>9</v>
      </c>
      <c r="H25" s="7">
        <v>41.25</v>
      </c>
      <c r="J25" s="8" t="s">
        <v>52</v>
      </c>
      <c r="K25" s="9">
        <v>25</v>
      </c>
      <c r="V25" s="2" t="s">
        <v>52</v>
      </c>
      <c r="W25" s="7">
        <v>138.88999999999899</v>
      </c>
      <c r="X25" s="12">
        <v>27.7779999999998</v>
      </c>
    </row>
    <row r="26" spans="1:24" x14ac:dyDescent="0.25">
      <c r="A26" s="2" t="s">
        <v>60</v>
      </c>
      <c r="B26" s="7">
        <v>382</v>
      </c>
      <c r="C26" s="7">
        <v>233</v>
      </c>
      <c r="D26" s="7">
        <v>1199.76</v>
      </c>
      <c r="E26" s="7">
        <v>0</v>
      </c>
      <c r="F26" s="7">
        <v>0</v>
      </c>
      <c r="G26" s="7">
        <v>0</v>
      </c>
      <c r="H26" s="7">
        <v>0</v>
      </c>
      <c r="J26" s="8" t="s">
        <v>60</v>
      </c>
      <c r="K26" s="9">
        <v>382</v>
      </c>
      <c r="V26" s="2" t="s">
        <v>60</v>
      </c>
      <c r="W26" s="7">
        <v>1199.76</v>
      </c>
      <c r="X26" s="12">
        <v>149.97</v>
      </c>
    </row>
    <row r="27" spans="1:24" x14ac:dyDescent="0.25">
      <c r="A27" s="2" t="s">
        <v>35</v>
      </c>
      <c r="B27" s="7">
        <v>491</v>
      </c>
      <c r="C27" s="7">
        <v>279</v>
      </c>
      <c r="D27" s="7">
        <v>1383.3700000000001</v>
      </c>
      <c r="E27" s="7">
        <v>0</v>
      </c>
      <c r="F27" s="7">
        <v>0</v>
      </c>
      <c r="G27" s="7">
        <v>0</v>
      </c>
      <c r="H27" s="7">
        <v>0</v>
      </c>
      <c r="J27" s="8" t="s">
        <v>35</v>
      </c>
      <c r="K27" s="9">
        <v>491</v>
      </c>
      <c r="V27" s="2" t="s">
        <v>35</v>
      </c>
      <c r="W27" s="7">
        <v>1383.3700000000001</v>
      </c>
      <c r="X27" s="12">
        <v>172.92125000000001</v>
      </c>
    </row>
    <row r="28" spans="1:24" x14ac:dyDescent="0.25">
      <c r="A28" s="2" t="s">
        <v>67</v>
      </c>
      <c r="B28" s="7">
        <v>171</v>
      </c>
      <c r="C28" s="7">
        <v>98</v>
      </c>
      <c r="D28" s="7">
        <v>1376.67</v>
      </c>
      <c r="E28" s="7">
        <v>32</v>
      </c>
      <c r="F28" s="7">
        <v>202</v>
      </c>
      <c r="G28" s="7">
        <v>16</v>
      </c>
      <c r="H28" s="7">
        <v>50.5</v>
      </c>
      <c r="J28" s="8" t="s">
        <v>67</v>
      </c>
      <c r="K28" s="9">
        <v>171</v>
      </c>
      <c r="V28" s="2" t="s">
        <v>67</v>
      </c>
      <c r="W28" s="7">
        <v>1376.67</v>
      </c>
      <c r="X28" s="12">
        <v>172.08375000000001</v>
      </c>
    </row>
    <row r="29" spans="1:24" x14ac:dyDescent="0.25">
      <c r="A29" s="2" t="s">
        <v>9</v>
      </c>
      <c r="B29" s="7">
        <v>386</v>
      </c>
      <c r="C29" s="7">
        <v>226</v>
      </c>
      <c r="D29" s="7">
        <v>851.39</v>
      </c>
      <c r="E29" s="7">
        <v>0</v>
      </c>
      <c r="F29" s="7">
        <v>0</v>
      </c>
      <c r="G29" s="7">
        <v>0</v>
      </c>
      <c r="H29" s="7">
        <v>0</v>
      </c>
      <c r="J29" s="8" t="s">
        <v>9</v>
      </c>
      <c r="K29" s="9">
        <v>386</v>
      </c>
      <c r="V29" s="2" t="s">
        <v>9</v>
      </c>
      <c r="W29" s="7">
        <v>851.39</v>
      </c>
      <c r="X29" s="12">
        <v>170.27799999999999</v>
      </c>
    </row>
    <row r="30" spans="1:24" x14ac:dyDescent="0.25">
      <c r="A30" s="2" t="s">
        <v>28</v>
      </c>
      <c r="B30" s="7">
        <v>132</v>
      </c>
      <c r="C30" s="7">
        <v>84</v>
      </c>
      <c r="D30" s="7">
        <v>453.89</v>
      </c>
      <c r="E30" s="7">
        <v>0</v>
      </c>
      <c r="F30" s="7">
        <v>0</v>
      </c>
      <c r="G30" s="7">
        <v>0</v>
      </c>
      <c r="H30" s="7">
        <v>0</v>
      </c>
      <c r="J30" s="8" t="s">
        <v>28</v>
      </c>
      <c r="K30" s="9">
        <v>132</v>
      </c>
      <c r="V30" s="2" t="s">
        <v>28</v>
      </c>
      <c r="W30" s="7">
        <v>453.89</v>
      </c>
      <c r="X30" s="12">
        <v>151.29666666666665</v>
      </c>
    </row>
    <row r="31" spans="1:24" x14ac:dyDescent="0.25">
      <c r="A31" s="2" t="s">
        <v>120</v>
      </c>
      <c r="B31" s="7">
        <v>550</v>
      </c>
      <c r="C31" s="7">
        <v>339</v>
      </c>
      <c r="D31" s="7">
        <v>1280.68</v>
      </c>
      <c r="E31" s="7">
        <v>0</v>
      </c>
      <c r="F31" s="7">
        <v>0</v>
      </c>
      <c r="G31" s="7">
        <v>0</v>
      </c>
      <c r="H31" s="7">
        <v>0</v>
      </c>
      <c r="J31" s="8" t="s">
        <v>120</v>
      </c>
      <c r="K31" s="9">
        <v>550</v>
      </c>
      <c r="V31" s="2" t="s">
        <v>120</v>
      </c>
      <c r="W31" s="7">
        <v>1280.68</v>
      </c>
      <c r="X31" s="12">
        <v>160.08500000000001</v>
      </c>
    </row>
    <row r="32" spans="1:24" x14ac:dyDescent="0.25">
      <c r="A32" s="2" t="s">
        <v>92</v>
      </c>
      <c r="B32" s="7">
        <v>0</v>
      </c>
      <c r="C32" s="7">
        <v>0</v>
      </c>
      <c r="D32" s="7">
        <v>0</v>
      </c>
      <c r="E32" s="7">
        <v>18.8</v>
      </c>
      <c r="F32" s="7">
        <v>114</v>
      </c>
      <c r="G32" s="7">
        <v>13</v>
      </c>
      <c r="H32" s="7">
        <v>29.25</v>
      </c>
      <c r="J32" s="8" t="s">
        <v>92</v>
      </c>
      <c r="K32" s="9">
        <v>0</v>
      </c>
      <c r="V32" s="2" t="s">
        <v>92</v>
      </c>
      <c r="W32" s="7">
        <v>0</v>
      </c>
      <c r="X32" s="12">
        <v>0</v>
      </c>
    </row>
    <row r="33" spans="1:24" x14ac:dyDescent="0.25">
      <c r="A33" s="2" t="s">
        <v>69</v>
      </c>
      <c r="B33" s="7">
        <v>0</v>
      </c>
      <c r="C33" s="7">
        <v>0</v>
      </c>
      <c r="D33" s="7">
        <v>0</v>
      </c>
      <c r="E33" s="7">
        <v>18.600000000000001</v>
      </c>
      <c r="F33" s="7">
        <v>113</v>
      </c>
      <c r="G33" s="7">
        <v>15</v>
      </c>
      <c r="H33" s="7">
        <v>29.61</v>
      </c>
      <c r="J33" s="8" t="s">
        <v>69</v>
      </c>
      <c r="K33" s="9">
        <v>0</v>
      </c>
      <c r="V33" s="2" t="s">
        <v>69</v>
      </c>
      <c r="W33" s="7">
        <v>0</v>
      </c>
      <c r="X33" s="12">
        <v>0</v>
      </c>
    </row>
    <row r="34" spans="1:24" x14ac:dyDescent="0.25">
      <c r="A34" s="2" t="s">
        <v>48</v>
      </c>
      <c r="B34" s="7">
        <v>982</v>
      </c>
      <c r="C34" s="7">
        <v>604</v>
      </c>
      <c r="D34" s="7">
        <v>2259.8399999999979</v>
      </c>
      <c r="E34" s="7">
        <v>0</v>
      </c>
      <c r="F34" s="7">
        <v>0</v>
      </c>
      <c r="G34" s="7">
        <v>0</v>
      </c>
      <c r="H34" s="7">
        <v>0</v>
      </c>
      <c r="J34" s="8" t="s">
        <v>48</v>
      </c>
      <c r="K34" s="9">
        <v>982</v>
      </c>
      <c r="V34" s="2" t="s">
        <v>48</v>
      </c>
      <c r="W34" s="7">
        <v>2259.8399999999979</v>
      </c>
      <c r="X34" s="12">
        <v>150.65599999999986</v>
      </c>
    </row>
    <row r="35" spans="1:24" x14ac:dyDescent="0.25">
      <c r="A35" s="2" t="s">
        <v>96</v>
      </c>
      <c r="B35" s="7">
        <v>608</v>
      </c>
      <c r="C35" s="7">
        <v>368</v>
      </c>
      <c r="D35" s="7">
        <v>1435.6699999999998</v>
      </c>
      <c r="E35" s="7">
        <v>0</v>
      </c>
      <c r="F35" s="7">
        <v>0</v>
      </c>
      <c r="G35" s="7">
        <v>0</v>
      </c>
      <c r="H35" s="7">
        <v>0</v>
      </c>
      <c r="J35" s="8" t="s">
        <v>96</v>
      </c>
      <c r="K35" s="9">
        <v>608</v>
      </c>
      <c r="V35" s="2" t="s">
        <v>96</v>
      </c>
      <c r="W35" s="7">
        <v>1435.6699999999998</v>
      </c>
      <c r="X35" s="12">
        <v>159.51888888888888</v>
      </c>
    </row>
    <row r="36" spans="1:24" x14ac:dyDescent="0.25">
      <c r="A36" s="2" t="s">
        <v>90</v>
      </c>
      <c r="B36" s="7">
        <v>0</v>
      </c>
      <c r="C36" s="7">
        <v>0</v>
      </c>
      <c r="D36" s="7">
        <v>0</v>
      </c>
      <c r="E36" s="7">
        <v>24</v>
      </c>
      <c r="F36" s="7">
        <v>180</v>
      </c>
      <c r="G36" s="7">
        <v>9</v>
      </c>
      <c r="H36" s="7">
        <v>45</v>
      </c>
      <c r="J36" s="8" t="s">
        <v>90</v>
      </c>
      <c r="K36" s="9">
        <v>0</v>
      </c>
      <c r="V36" s="2" t="s">
        <v>90</v>
      </c>
      <c r="W36" s="7">
        <v>0</v>
      </c>
      <c r="X36" s="12">
        <v>0</v>
      </c>
    </row>
    <row r="37" spans="1:24" x14ac:dyDescent="0.25">
      <c r="A37" s="2" t="s">
        <v>579</v>
      </c>
      <c r="B37" s="7">
        <v>7463</v>
      </c>
      <c r="C37" s="7">
        <v>4497</v>
      </c>
      <c r="D37" s="7">
        <v>21448.249999999985</v>
      </c>
      <c r="E37" s="7">
        <v>343.8</v>
      </c>
      <c r="F37" s="7">
        <v>2435</v>
      </c>
      <c r="G37" s="7">
        <v>178</v>
      </c>
      <c r="H37" s="7">
        <v>613.36</v>
      </c>
      <c r="J37" s="10" t="s">
        <v>579</v>
      </c>
      <c r="K37" s="11">
        <v>7463</v>
      </c>
      <c r="V37" s="2" t="s">
        <v>579</v>
      </c>
      <c r="W37" s="7">
        <v>21448.249999999985</v>
      </c>
      <c r="X37" s="12">
        <v>106.70771144278599</v>
      </c>
    </row>
    <row r="41" spans="1:24" x14ac:dyDescent="0.25">
      <c r="A41" s="1" t="s">
        <v>583</v>
      </c>
      <c r="B41" t="s">
        <v>592</v>
      </c>
      <c r="O41" s="1" t="s">
        <v>583</v>
      </c>
      <c r="P41" t="s">
        <v>591</v>
      </c>
    </row>
    <row r="42" spans="1:24" x14ac:dyDescent="0.25">
      <c r="A42" s="2" t="s">
        <v>112</v>
      </c>
      <c r="B42" s="7">
        <v>0</v>
      </c>
      <c r="O42" s="2" t="s">
        <v>112</v>
      </c>
      <c r="P42" s="7">
        <v>0</v>
      </c>
    </row>
    <row r="43" spans="1:24" x14ac:dyDescent="0.25">
      <c r="A43" s="2" t="s">
        <v>64</v>
      </c>
      <c r="B43" s="7">
        <v>11</v>
      </c>
      <c r="O43" s="2" t="s">
        <v>64</v>
      </c>
      <c r="P43" s="7">
        <v>54</v>
      </c>
    </row>
    <row r="44" spans="1:24" x14ac:dyDescent="0.25">
      <c r="A44" s="2" t="s">
        <v>102</v>
      </c>
      <c r="B44" s="7">
        <v>19</v>
      </c>
      <c r="O44" s="2" t="s">
        <v>102</v>
      </c>
      <c r="P44" s="7">
        <v>58</v>
      </c>
    </row>
    <row r="45" spans="1:24" x14ac:dyDescent="0.25">
      <c r="A45" s="2" t="s">
        <v>82</v>
      </c>
      <c r="B45" s="7">
        <v>9</v>
      </c>
      <c r="O45" s="2" t="s">
        <v>82</v>
      </c>
      <c r="P45" s="7">
        <v>30</v>
      </c>
    </row>
    <row r="46" spans="1:24" x14ac:dyDescent="0.25">
      <c r="A46" s="2" t="s">
        <v>116</v>
      </c>
      <c r="B46" s="7">
        <v>6</v>
      </c>
      <c r="O46" s="2" t="s">
        <v>116</v>
      </c>
      <c r="P46" s="7">
        <v>32.5</v>
      </c>
    </row>
    <row r="47" spans="1:24" x14ac:dyDescent="0.25">
      <c r="A47" s="2" t="s">
        <v>42</v>
      </c>
      <c r="B47" s="7">
        <v>0</v>
      </c>
      <c r="O47" s="2" t="s">
        <v>42</v>
      </c>
      <c r="P47" s="7">
        <v>0</v>
      </c>
    </row>
    <row r="48" spans="1:24" x14ac:dyDescent="0.25">
      <c r="A48" s="2" t="s">
        <v>72</v>
      </c>
      <c r="B48" s="7">
        <v>0</v>
      </c>
      <c r="O48" s="2" t="s">
        <v>72</v>
      </c>
      <c r="P48" s="7">
        <v>0</v>
      </c>
    </row>
    <row r="49" spans="1:16" x14ac:dyDescent="0.25">
      <c r="A49" s="2" t="s">
        <v>38</v>
      </c>
      <c r="B49" s="7">
        <v>17</v>
      </c>
      <c r="O49" s="2" t="s">
        <v>38</v>
      </c>
      <c r="P49" s="7">
        <v>47</v>
      </c>
    </row>
    <row r="50" spans="1:16" x14ac:dyDescent="0.25">
      <c r="A50" s="2" t="s">
        <v>57</v>
      </c>
      <c r="B50" s="7">
        <v>0</v>
      </c>
      <c r="O50" s="2" t="s">
        <v>57</v>
      </c>
      <c r="P50" s="7">
        <v>0</v>
      </c>
    </row>
    <row r="51" spans="1:16" x14ac:dyDescent="0.25">
      <c r="A51" s="2" t="s">
        <v>54</v>
      </c>
      <c r="B51" s="7">
        <v>2</v>
      </c>
      <c r="O51" s="2" t="s">
        <v>54</v>
      </c>
      <c r="P51" s="7">
        <v>7</v>
      </c>
    </row>
    <row r="52" spans="1:16" x14ac:dyDescent="0.25">
      <c r="A52" s="2" t="s">
        <v>32</v>
      </c>
      <c r="B52" s="7">
        <v>6</v>
      </c>
      <c r="O52" s="2" t="s">
        <v>32</v>
      </c>
      <c r="P52" s="7">
        <v>31.25</v>
      </c>
    </row>
    <row r="53" spans="1:16" x14ac:dyDescent="0.25">
      <c r="A53" s="2" t="s">
        <v>118</v>
      </c>
      <c r="B53" s="7">
        <v>0</v>
      </c>
      <c r="O53" s="2" t="s">
        <v>118</v>
      </c>
      <c r="P53" s="7">
        <v>0</v>
      </c>
    </row>
    <row r="54" spans="1:16" x14ac:dyDescent="0.25">
      <c r="A54" s="2" t="s">
        <v>22</v>
      </c>
      <c r="B54" s="7">
        <v>0</v>
      </c>
      <c r="O54" s="2" t="s">
        <v>22</v>
      </c>
      <c r="P54" s="7">
        <v>0</v>
      </c>
    </row>
    <row r="55" spans="1:16" x14ac:dyDescent="0.25">
      <c r="A55" s="2" t="s">
        <v>17</v>
      </c>
      <c r="B55" s="7">
        <v>25</v>
      </c>
      <c r="O55" s="2" t="s">
        <v>17</v>
      </c>
      <c r="P55" s="7">
        <v>69.25</v>
      </c>
    </row>
    <row r="56" spans="1:16" x14ac:dyDescent="0.25">
      <c r="A56" s="2" t="s">
        <v>106</v>
      </c>
      <c r="B56" s="7">
        <v>0</v>
      </c>
      <c r="O56" s="2" t="s">
        <v>106</v>
      </c>
      <c r="P56" s="7">
        <v>0</v>
      </c>
    </row>
    <row r="57" spans="1:16" x14ac:dyDescent="0.25">
      <c r="A57" s="2" t="s">
        <v>85</v>
      </c>
      <c r="B57" s="7">
        <v>0</v>
      </c>
      <c r="O57" s="2" t="s">
        <v>85</v>
      </c>
      <c r="P57" s="7">
        <v>0</v>
      </c>
    </row>
    <row r="58" spans="1:16" x14ac:dyDescent="0.25">
      <c r="A58" s="2" t="s">
        <v>108</v>
      </c>
      <c r="B58" s="7">
        <v>6</v>
      </c>
      <c r="O58" s="2" t="s">
        <v>108</v>
      </c>
      <c r="P58" s="7">
        <v>40.5</v>
      </c>
    </row>
    <row r="59" spans="1:16" x14ac:dyDescent="0.25">
      <c r="A59" s="2" t="s">
        <v>76</v>
      </c>
      <c r="B59" s="7">
        <v>10</v>
      </c>
      <c r="O59" s="2" t="s">
        <v>76</v>
      </c>
      <c r="P59" s="7">
        <v>23</v>
      </c>
    </row>
    <row r="60" spans="1:16" x14ac:dyDescent="0.25">
      <c r="A60" s="2" t="s">
        <v>99</v>
      </c>
      <c r="B60" s="7">
        <v>0</v>
      </c>
      <c r="O60" s="2" t="s">
        <v>99</v>
      </c>
      <c r="P60" s="7">
        <v>0</v>
      </c>
    </row>
    <row r="61" spans="1:16" x14ac:dyDescent="0.25">
      <c r="A61" s="2" t="s">
        <v>45</v>
      </c>
      <c r="B61" s="7">
        <v>3</v>
      </c>
      <c r="O61" s="2" t="s">
        <v>45</v>
      </c>
      <c r="P61" s="7">
        <v>5.25</v>
      </c>
    </row>
    <row r="62" spans="1:16" x14ac:dyDescent="0.25">
      <c r="A62" s="2" t="s">
        <v>80</v>
      </c>
      <c r="B62" s="7">
        <v>2</v>
      </c>
      <c r="O62" s="2" t="s">
        <v>80</v>
      </c>
      <c r="P62" s="7">
        <v>20</v>
      </c>
    </row>
    <row r="63" spans="1:16" x14ac:dyDescent="0.25">
      <c r="A63" s="2" t="s">
        <v>52</v>
      </c>
      <c r="B63" s="7">
        <v>9</v>
      </c>
      <c r="O63" s="2" t="s">
        <v>52</v>
      </c>
      <c r="P63" s="7">
        <v>41.25</v>
      </c>
    </row>
    <row r="64" spans="1:16" x14ac:dyDescent="0.25">
      <c r="A64" s="2" t="s">
        <v>60</v>
      </c>
      <c r="B64" s="7">
        <v>0</v>
      </c>
      <c r="O64" s="2" t="s">
        <v>60</v>
      </c>
      <c r="P64" s="7">
        <v>0</v>
      </c>
    </row>
    <row r="65" spans="1:16" x14ac:dyDescent="0.25">
      <c r="A65" s="2" t="s">
        <v>35</v>
      </c>
      <c r="B65" s="7">
        <v>0</v>
      </c>
      <c r="O65" s="2" t="s">
        <v>35</v>
      </c>
      <c r="P65" s="7">
        <v>0</v>
      </c>
    </row>
    <row r="66" spans="1:16" x14ac:dyDescent="0.25">
      <c r="A66" s="2" t="s">
        <v>67</v>
      </c>
      <c r="B66" s="7">
        <v>16</v>
      </c>
      <c r="O66" s="2" t="s">
        <v>67</v>
      </c>
      <c r="P66" s="7">
        <v>50.5</v>
      </c>
    </row>
    <row r="67" spans="1:16" x14ac:dyDescent="0.25">
      <c r="A67" s="2" t="s">
        <v>9</v>
      </c>
      <c r="B67" s="7">
        <v>0</v>
      </c>
      <c r="O67" s="2" t="s">
        <v>9</v>
      </c>
      <c r="P67" s="7">
        <v>0</v>
      </c>
    </row>
    <row r="68" spans="1:16" x14ac:dyDescent="0.25">
      <c r="A68" s="2" t="s">
        <v>28</v>
      </c>
      <c r="B68" s="7">
        <v>0</v>
      </c>
      <c r="O68" s="2" t="s">
        <v>28</v>
      </c>
      <c r="P68" s="7">
        <v>0</v>
      </c>
    </row>
    <row r="69" spans="1:16" x14ac:dyDescent="0.25">
      <c r="A69" s="2" t="s">
        <v>120</v>
      </c>
      <c r="B69" s="7">
        <v>0</v>
      </c>
      <c r="O69" s="2" t="s">
        <v>120</v>
      </c>
      <c r="P69" s="7">
        <v>0</v>
      </c>
    </row>
    <row r="70" spans="1:16" x14ac:dyDescent="0.25">
      <c r="A70" s="2" t="s">
        <v>92</v>
      </c>
      <c r="B70" s="7">
        <v>13</v>
      </c>
      <c r="O70" s="2" t="s">
        <v>92</v>
      </c>
      <c r="P70" s="7">
        <v>29.25</v>
      </c>
    </row>
    <row r="71" spans="1:16" x14ac:dyDescent="0.25">
      <c r="A71" s="2" t="s">
        <v>69</v>
      </c>
      <c r="B71" s="7">
        <v>15</v>
      </c>
      <c r="O71" s="2" t="s">
        <v>69</v>
      </c>
      <c r="P71" s="7">
        <v>29.61</v>
      </c>
    </row>
    <row r="72" spans="1:16" x14ac:dyDescent="0.25">
      <c r="A72" s="2" t="s">
        <v>48</v>
      </c>
      <c r="B72" s="7">
        <v>0</v>
      </c>
      <c r="O72" s="2" t="s">
        <v>48</v>
      </c>
      <c r="P72" s="7">
        <v>0</v>
      </c>
    </row>
    <row r="73" spans="1:16" x14ac:dyDescent="0.25">
      <c r="A73" s="2" t="s">
        <v>96</v>
      </c>
      <c r="B73" s="7">
        <v>0</v>
      </c>
      <c r="O73" s="2" t="s">
        <v>96</v>
      </c>
      <c r="P73" s="7">
        <v>0</v>
      </c>
    </row>
    <row r="74" spans="1:16" x14ac:dyDescent="0.25">
      <c r="A74" s="2" t="s">
        <v>90</v>
      </c>
      <c r="B74" s="7">
        <v>9</v>
      </c>
      <c r="O74" s="2" t="s">
        <v>90</v>
      </c>
      <c r="P74" s="7">
        <v>45</v>
      </c>
    </row>
    <row r="75" spans="1:16" x14ac:dyDescent="0.25">
      <c r="A75" s="2" t="s">
        <v>579</v>
      </c>
      <c r="B75" s="7">
        <v>178</v>
      </c>
      <c r="O75" s="2" t="s">
        <v>579</v>
      </c>
      <c r="P75" s="7">
        <v>613.36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7FF0B-5BD2-4E0A-AC07-0C24CFF83079}">
  <dimension ref="A1"/>
  <sheetViews>
    <sheetView zoomScale="93" zoomScaleNormal="99" workbookViewId="0">
      <selection activeCell="J10" sqref="J10"/>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A5914-866D-48BE-AC03-DCB169A39FC3}">
  <dimension ref="F1:AB10"/>
  <sheetViews>
    <sheetView zoomScale="70" zoomScaleNormal="70" workbookViewId="0">
      <selection activeCell="X11" sqref="X11"/>
    </sheetView>
  </sheetViews>
  <sheetFormatPr defaultRowHeight="15" x14ac:dyDescent="0.25"/>
  <sheetData>
    <row r="1" spans="6:28" s="4" customFormat="1" x14ac:dyDescent="0.25"/>
    <row r="2" spans="6:28" s="4" customFormat="1" x14ac:dyDescent="0.25"/>
    <row r="3" spans="6:28" s="4" customFormat="1" x14ac:dyDescent="0.25"/>
    <row r="4" spans="6:28" s="4" customFormat="1" x14ac:dyDescent="0.25"/>
    <row r="5" spans="6:28" s="4" customFormat="1" x14ac:dyDescent="0.25">
      <c r="F5" s="5">
        <f>GETPIVOTDATA("[Measures].[Count of Match_ID]",Team_Summary!$A$3)</f>
        <v>60</v>
      </c>
      <c r="G5" s="5"/>
      <c r="H5" s="5"/>
      <c r="I5" s="5"/>
      <c r="J5" s="5"/>
      <c r="L5" s="5">
        <f>Team_Summary!E6</f>
        <v>0</v>
      </c>
      <c r="M5" s="5"/>
      <c r="N5" s="5"/>
      <c r="O5" s="5"/>
      <c r="P5" s="5"/>
      <c r="R5" s="5">
        <f>GETPIVOTDATA("[Measures].[TotalRuns]",Team_Summary!$A$3)</f>
        <v>20944</v>
      </c>
      <c r="S5" s="5"/>
      <c r="T5" s="5"/>
      <c r="U5" s="5"/>
      <c r="V5" s="5"/>
      <c r="X5" s="5">
        <f>GETPIVOTDATA("[Measures].[Sum of Wickets]",Plater_Summary!$A$3)</f>
        <v>178</v>
      </c>
      <c r="Y5" s="5"/>
      <c r="Z5" s="5"/>
      <c r="AA5" s="5"/>
      <c r="AB5" s="5"/>
    </row>
    <row r="6" spans="6:28" s="4" customFormat="1" x14ac:dyDescent="0.25">
      <c r="F6" s="5"/>
      <c r="G6" s="5"/>
      <c r="H6" s="5"/>
      <c r="I6" s="5"/>
      <c r="J6" s="5"/>
      <c r="L6" s="5"/>
      <c r="M6" s="5"/>
      <c r="N6" s="5"/>
      <c r="O6" s="5"/>
      <c r="P6" s="5"/>
      <c r="R6" s="5"/>
      <c r="S6" s="5"/>
      <c r="T6" s="5"/>
      <c r="U6" s="5"/>
      <c r="V6" s="5"/>
      <c r="X6" s="5"/>
      <c r="Y6" s="5"/>
      <c r="Z6" s="5"/>
      <c r="AA6" s="5"/>
      <c r="AB6" s="5"/>
    </row>
    <row r="7" spans="6:28" s="4" customFormat="1" x14ac:dyDescent="0.25">
      <c r="F7" s="5"/>
      <c r="G7" s="5"/>
      <c r="H7" s="5"/>
      <c r="I7" s="5"/>
      <c r="J7" s="5"/>
      <c r="L7" s="5"/>
      <c r="M7" s="5"/>
      <c r="N7" s="5"/>
      <c r="O7" s="5"/>
      <c r="P7" s="5"/>
      <c r="R7" s="5"/>
      <c r="S7" s="5"/>
      <c r="T7" s="5"/>
      <c r="U7" s="5"/>
      <c r="V7" s="5"/>
      <c r="X7" s="5"/>
      <c r="Y7" s="5"/>
      <c r="Z7" s="5"/>
      <c r="AA7" s="5"/>
      <c r="AB7" s="5"/>
    </row>
    <row r="8" spans="6:28" s="4" customFormat="1" x14ac:dyDescent="0.25">
      <c r="F8" s="5"/>
      <c r="G8" s="5"/>
      <c r="H8" s="5"/>
      <c r="I8" s="5"/>
      <c r="J8" s="5"/>
      <c r="L8" s="5"/>
      <c r="M8" s="5"/>
      <c r="N8" s="5"/>
      <c r="O8" s="5"/>
      <c r="P8" s="5"/>
      <c r="R8" s="5"/>
      <c r="S8" s="5"/>
      <c r="T8" s="5"/>
      <c r="U8" s="5"/>
      <c r="V8" s="5"/>
      <c r="X8" s="5"/>
      <c r="Y8" s="5"/>
      <c r="Z8" s="5"/>
      <c r="AA8" s="5"/>
      <c r="AB8" s="5"/>
    </row>
    <row r="9" spans="6:28" s="4" customFormat="1" x14ac:dyDescent="0.25">
      <c r="F9" s="5"/>
      <c r="G9" s="5"/>
      <c r="H9" s="5"/>
      <c r="I9" s="5"/>
      <c r="J9" s="5"/>
      <c r="L9" s="5"/>
      <c r="M9" s="5"/>
      <c r="N9" s="5"/>
      <c r="O9" s="5"/>
      <c r="P9" s="5"/>
      <c r="R9" s="5"/>
      <c r="S9" s="5"/>
      <c r="T9" s="5"/>
      <c r="U9" s="5"/>
      <c r="V9" s="5"/>
      <c r="X9" s="5"/>
      <c r="Y9" s="5"/>
      <c r="Z9" s="5"/>
      <c r="AA9" s="5"/>
      <c r="AB9" s="5"/>
    </row>
    <row r="10" spans="6:28" s="4" customFormat="1" x14ac:dyDescent="0.25">
      <c r="F10" s="5"/>
      <c r="G10" s="5"/>
      <c r="H10" s="5"/>
      <c r="I10" s="5"/>
      <c r="J10" s="5"/>
      <c r="L10" s="5"/>
      <c r="M10" s="5"/>
      <c r="N10" s="5"/>
      <c r="O10" s="5"/>
      <c r="P10" s="5"/>
      <c r="R10" s="5"/>
      <c r="S10" s="5"/>
      <c r="T10" s="5"/>
      <c r="U10" s="5"/>
      <c r="V10" s="5"/>
      <c r="X10" s="5"/>
      <c r="Y10" s="5"/>
      <c r="Z10" s="5"/>
      <c r="AA10" s="5"/>
      <c r="AB10" s="5"/>
    </row>
  </sheetData>
  <mergeCells count="4">
    <mergeCell ref="F5:J10"/>
    <mergeCell ref="L5:P10"/>
    <mergeCell ref="R5:V10"/>
    <mergeCell ref="X5:AB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05836-A839-459C-84A8-EDA9991BC0EF}">
  <dimension ref="A1:N61"/>
  <sheetViews>
    <sheetView zoomScale="59" zoomScaleNormal="59" workbookViewId="0">
      <selection activeCell="I1" sqref="I1:I1048576"/>
    </sheetView>
  </sheetViews>
  <sheetFormatPr defaultRowHeight="15" x14ac:dyDescent="0.25"/>
  <cols>
    <col min="1" max="1" width="17.85546875" bestFit="1" customWidth="1"/>
    <col min="2" max="2" width="12.7109375" bestFit="1" customWidth="1"/>
    <col min="3" max="3" width="17.5703125" bestFit="1" customWidth="1"/>
    <col min="4" max="4" width="17.85546875" bestFit="1" customWidth="1"/>
    <col min="5" max="5" width="18.28515625" bestFit="1" customWidth="1"/>
    <col min="6" max="6" width="22.140625" bestFit="1" customWidth="1"/>
    <col min="7" max="7" width="23.5703125" bestFit="1" customWidth="1"/>
    <col min="8" max="8" width="24.85546875" bestFit="1" customWidth="1"/>
    <col min="9" max="9" width="21.7109375" bestFit="1" customWidth="1"/>
    <col min="10" max="10" width="22.140625" bestFit="1" customWidth="1"/>
    <col min="11" max="11" width="25.140625" bestFit="1" customWidth="1"/>
    <col min="12" max="12" width="25.85546875" bestFit="1" customWidth="1"/>
    <col min="13" max="13" width="22.7109375" bestFit="1" customWidth="1"/>
    <col min="14" max="14" width="23.140625" bestFit="1" customWidth="1"/>
  </cols>
  <sheetData>
    <row r="1" spans="1:14" x14ac:dyDescent="0.25">
      <c r="A1" t="s">
        <v>201</v>
      </c>
      <c r="B1" t="s">
        <v>351</v>
      </c>
      <c r="C1" t="s">
        <v>175</v>
      </c>
      <c r="D1" t="s">
        <v>352</v>
      </c>
      <c r="E1" t="s">
        <v>353</v>
      </c>
      <c r="F1" t="s">
        <v>354</v>
      </c>
      <c r="G1" t="s">
        <v>355</v>
      </c>
      <c r="H1" t="s">
        <v>356</v>
      </c>
      <c r="I1" t="s">
        <v>357</v>
      </c>
      <c r="J1" t="s">
        <v>358</v>
      </c>
      <c r="K1" t="s">
        <v>359</v>
      </c>
      <c r="L1" t="s">
        <v>360</v>
      </c>
      <c r="M1" t="s">
        <v>361</v>
      </c>
      <c r="N1" t="s">
        <v>362</v>
      </c>
    </row>
    <row r="2" spans="1:14" x14ac:dyDescent="0.25">
      <c r="A2" t="s">
        <v>211</v>
      </c>
      <c r="B2" t="s">
        <v>363</v>
      </c>
      <c r="C2" t="s">
        <v>180</v>
      </c>
      <c r="D2" t="s">
        <v>36</v>
      </c>
      <c r="E2" t="s">
        <v>49</v>
      </c>
      <c r="F2" t="s">
        <v>36</v>
      </c>
      <c r="G2" t="s">
        <v>36</v>
      </c>
      <c r="H2" t="s">
        <v>34</v>
      </c>
      <c r="I2" t="s">
        <v>528</v>
      </c>
      <c r="J2" t="s">
        <v>529</v>
      </c>
      <c r="K2" t="s">
        <v>432</v>
      </c>
      <c r="L2" t="s">
        <v>451</v>
      </c>
      <c r="M2" t="s">
        <v>487</v>
      </c>
      <c r="N2" t="s">
        <v>487</v>
      </c>
    </row>
    <row r="3" spans="1:14" x14ac:dyDescent="0.25">
      <c r="A3" t="s">
        <v>212</v>
      </c>
      <c r="B3" t="s">
        <v>364</v>
      </c>
      <c r="C3" t="s">
        <v>191</v>
      </c>
      <c r="D3" t="s">
        <v>113</v>
      </c>
      <c r="E3" t="s">
        <v>73</v>
      </c>
      <c r="F3" t="s">
        <v>113</v>
      </c>
      <c r="G3" t="s">
        <v>113</v>
      </c>
      <c r="H3" t="s">
        <v>119</v>
      </c>
      <c r="I3" t="s">
        <v>530</v>
      </c>
      <c r="J3" t="s">
        <v>531</v>
      </c>
      <c r="K3" t="s">
        <v>434</v>
      </c>
      <c r="L3" t="s">
        <v>479</v>
      </c>
      <c r="M3" t="s">
        <v>487</v>
      </c>
      <c r="N3" t="s">
        <v>487</v>
      </c>
    </row>
    <row r="4" spans="1:14" x14ac:dyDescent="0.25">
      <c r="A4" t="s">
        <v>213</v>
      </c>
      <c r="B4" t="s">
        <v>364</v>
      </c>
      <c r="C4" t="s">
        <v>184</v>
      </c>
      <c r="D4" t="s">
        <v>61</v>
      </c>
      <c r="E4" t="s">
        <v>100</v>
      </c>
      <c r="F4" t="s">
        <v>100</v>
      </c>
      <c r="G4" t="s">
        <v>61</v>
      </c>
      <c r="H4" t="s">
        <v>63</v>
      </c>
      <c r="I4" t="s">
        <v>532</v>
      </c>
      <c r="J4" t="s">
        <v>533</v>
      </c>
      <c r="K4" t="s">
        <v>423</v>
      </c>
      <c r="L4" t="s">
        <v>434</v>
      </c>
      <c r="M4" t="s">
        <v>487</v>
      </c>
      <c r="N4" t="s">
        <v>487</v>
      </c>
    </row>
    <row r="5" spans="1:14" x14ac:dyDescent="0.25">
      <c r="A5" t="s">
        <v>214</v>
      </c>
      <c r="B5" t="s">
        <v>365</v>
      </c>
      <c r="C5" t="s">
        <v>188</v>
      </c>
      <c r="D5" t="s">
        <v>86</v>
      </c>
      <c r="E5" t="s">
        <v>10</v>
      </c>
      <c r="F5" t="s">
        <v>10</v>
      </c>
      <c r="G5" t="s">
        <v>86</v>
      </c>
      <c r="H5" t="s">
        <v>84</v>
      </c>
      <c r="I5" t="s">
        <v>534</v>
      </c>
      <c r="J5" t="s">
        <v>505</v>
      </c>
      <c r="K5" t="s">
        <v>429</v>
      </c>
      <c r="L5" t="s">
        <v>436</v>
      </c>
      <c r="M5" t="s">
        <v>487</v>
      </c>
      <c r="N5" t="s">
        <v>535</v>
      </c>
    </row>
    <row r="6" spans="1:14" x14ac:dyDescent="0.25">
      <c r="A6" t="s">
        <v>215</v>
      </c>
      <c r="B6" t="s">
        <v>366</v>
      </c>
      <c r="C6" t="s">
        <v>182</v>
      </c>
      <c r="D6" t="s">
        <v>49</v>
      </c>
      <c r="E6" t="s">
        <v>86</v>
      </c>
      <c r="F6" t="s">
        <v>49</v>
      </c>
      <c r="G6" t="s">
        <v>86</v>
      </c>
      <c r="H6" t="s">
        <v>95</v>
      </c>
      <c r="I6" t="s">
        <v>536</v>
      </c>
      <c r="J6" t="s">
        <v>537</v>
      </c>
      <c r="K6" t="s">
        <v>429</v>
      </c>
      <c r="L6" t="s">
        <v>432</v>
      </c>
      <c r="M6" t="s">
        <v>487</v>
      </c>
      <c r="N6" t="s">
        <v>538</v>
      </c>
    </row>
    <row r="7" spans="1:14" x14ac:dyDescent="0.25">
      <c r="A7" t="s">
        <v>216</v>
      </c>
      <c r="B7" t="s">
        <v>367</v>
      </c>
      <c r="C7" t="s">
        <v>186</v>
      </c>
      <c r="D7" t="s">
        <v>73</v>
      </c>
      <c r="E7" t="s">
        <v>61</v>
      </c>
      <c r="F7" t="s">
        <v>73</v>
      </c>
      <c r="G7" t="s">
        <v>61</v>
      </c>
      <c r="H7" t="s">
        <v>66</v>
      </c>
      <c r="I7" t="s">
        <v>539</v>
      </c>
      <c r="J7" t="s">
        <v>505</v>
      </c>
      <c r="K7" t="s">
        <v>451</v>
      </c>
      <c r="L7" t="s">
        <v>424</v>
      </c>
      <c r="M7" t="s">
        <v>487</v>
      </c>
      <c r="N7" t="s">
        <v>540</v>
      </c>
    </row>
    <row r="8" spans="1:14" x14ac:dyDescent="0.25">
      <c r="A8" t="s">
        <v>217</v>
      </c>
      <c r="B8" t="s">
        <v>368</v>
      </c>
      <c r="C8" t="s">
        <v>180</v>
      </c>
      <c r="D8" t="s">
        <v>36</v>
      </c>
      <c r="E8" t="s">
        <v>100</v>
      </c>
      <c r="F8" t="s">
        <v>100</v>
      </c>
      <c r="G8" t="s">
        <v>36</v>
      </c>
      <c r="H8" t="s">
        <v>37</v>
      </c>
      <c r="I8" t="s">
        <v>541</v>
      </c>
      <c r="J8" t="s">
        <v>542</v>
      </c>
      <c r="K8" t="s">
        <v>423</v>
      </c>
      <c r="L8" t="s">
        <v>479</v>
      </c>
      <c r="M8" t="s">
        <v>487</v>
      </c>
      <c r="N8" t="s">
        <v>487</v>
      </c>
    </row>
    <row r="9" spans="1:14" x14ac:dyDescent="0.25">
      <c r="A9" t="s">
        <v>218</v>
      </c>
      <c r="B9" t="s">
        <v>369</v>
      </c>
      <c r="C9" t="s">
        <v>178</v>
      </c>
      <c r="D9" t="s">
        <v>10</v>
      </c>
      <c r="E9" t="s">
        <v>113</v>
      </c>
      <c r="F9" t="s">
        <v>10</v>
      </c>
      <c r="G9" t="s">
        <v>113</v>
      </c>
      <c r="H9" t="s">
        <v>117</v>
      </c>
      <c r="I9" t="s">
        <v>543</v>
      </c>
      <c r="J9" t="s">
        <v>544</v>
      </c>
      <c r="K9" t="s">
        <v>436</v>
      </c>
      <c r="L9" t="s">
        <v>424</v>
      </c>
      <c r="M9" t="s">
        <v>545</v>
      </c>
      <c r="N9" t="s">
        <v>465</v>
      </c>
    </row>
    <row r="10" spans="1:14" x14ac:dyDescent="0.25">
      <c r="A10" t="s">
        <v>219</v>
      </c>
      <c r="B10" t="s">
        <v>370</v>
      </c>
      <c r="C10" t="s">
        <v>184</v>
      </c>
      <c r="D10" t="s">
        <v>61</v>
      </c>
      <c r="E10" t="s">
        <v>49</v>
      </c>
      <c r="F10" t="s">
        <v>49</v>
      </c>
      <c r="G10" t="s">
        <v>61</v>
      </c>
      <c r="H10" t="s">
        <v>68</v>
      </c>
      <c r="I10" t="s">
        <v>546</v>
      </c>
      <c r="J10" t="s">
        <v>547</v>
      </c>
      <c r="K10" t="s">
        <v>429</v>
      </c>
      <c r="L10" t="s">
        <v>479</v>
      </c>
      <c r="M10" t="s">
        <v>487</v>
      </c>
      <c r="N10" t="s">
        <v>548</v>
      </c>
    </row>
    <row r="11" spans="1:14" x14ac:dyDescent="0.25">
      <c r="A11" t="s">
        <v>220</v>
      </c>
      <c r="B11" t="s">
        <v>371</v>
      </c>
      <c r="C11" t="s">
        <v>188</v>
      </c>
      <c r="D11" t="s">
        <v>86</v>
      </c>
      <c r="E11" t="s">
        <v>73</v>
      </c>
      <c r="F11" t="s">
        <v>73</v>
      </c>
      <c r="G11" t="s">
        <v>73</v>
      </c>
      <c r="H11" t="s">
        <v>75</v>
      </c>
      <c r="I11" t="s">
        <v>549</v>
      </c>
      <c r="J11" t="s">
        <v>475</v>
      </c>
      <c r="K11" t="s">
        <v>479</v>
      </c>
      <c r="L11" t="s">
        <v>432</v>
      </c>
      <c r="M11" t="s">
        <v>487</v>
      </c>
      <c r="N11" t="s">
        <v>550</v>
      </c>
    </row>
    <row r="12" spans="1:14" x14ac:dyDescent="0.25">
      <c r="A12" t="s">
        <v>221</v>
      </c>
      <c r="B12" t="s">
        <v>372</v>
      </c>
      <c r="C12" t="s">
        <v>190</v>
      </c>
      <c r="D12" t="s">
        <v>100</v>
      </c>
      <c r="E12" t="s">
        <v>10</v>
      </c>
      <c r="F12" t="s">
        <v>10</v>
      </c>
      <c r="G12" t="s">
        <v>100</v>
      </c>
      <c r="H12" t="s">
        <v>98</v>
      </c>
      <c r="I12" t="s">
        <v>551</v>
      </c>
      <c r="J12" t="s">
        <v>552</v>
      </c>
      <c r="K12" t="s">
        <v>434</v>
      </c>
      <c r="L12" t="s">
        <v>451</v>
      </c>
      <c r="M12" t="s">
        <v>487</v>
      </c>
      <c r="N12" t="s">
        <v>540</v>
      </c>
    </row>
    <row r="13" spans="1:14" x14ac:dyDescent="0.25">
      <c r="A13" t="s">
        <v>222</v>
      </c>
      <c r="B13" t="s">
        <v>373</v>
      </c>
      <c r="C13" t="s">
        <v>191</v>
      </c>
      <c r="D13" t="s">
        <v>113</v>
      </c>
      <c r="E13" t="s">
        <v>36</v>
      </c>
      <c r="F13" t="s">
        <v>36</v>
      </c>
      <c r="G13" t="s">
        <v>36</v>
      </c>
      <c r="H13" t="s">
        <v>41</v>
      </c>
      <c r="I13" t="s">
        <v>553</v>
      </c>
      <c r="J13" t="s">
        <v>554</v>
      </c>
      <c r="K13" t="s">
        <v>451</v>
      </c>
      <c r="L13" t="s">
        <v>423</v>
      </c>
      <c r="M13" t="s">
        <v>487</v>
      </c>
      <c r="N13" t="s">
        <v>555</v>
      </c>
    </row>
    <row r="14" spans="1:14" x14ac:dyDescent="0.25">
      <c r="A14" t="s">
        <v>223</v>
      </c>
      <c r="B14" t="s">
        <v>374</v>
      </c>
      <c r="C14" t="s">
        <v>182</v>
      </c>
      <c r="D14" t="s">
        <v>49</v>
      </c>
      <c r="E14" t="s">
        <v>73</v>
      </c>
      <c r="F14" t="s">
        <v>73</v>
      </c>
      <c r="G14" t="s">
        <v>49</v>
      </c>
      <c r="H14" t="s">
        <v>47</v>
      </c>
      <c r="I14" t="s">
        <v>533</v>
      </c>
      <c r="J14" t="s">
        <v>556</v>
      </c>
      <c r="K14" t="s">
        <v>424</v>
      </c>
      <c r="L14" t="s">
        <v>451</v>
      </c>
      <c r="M14" t="s">
        <v>487</v>
      </c>
      <c r="N14" t="s">
        <v>487</v>
      </c>
    </row>
    <row r="15" spans="1:14" x14ac:dyDescent="0.25">
      <c r="A15" t="s">
        <v>224</v>
      </c>
      <c r="B15" t="s">
        <v>375</v>
      </c>
      <c r="C15" t="s">
        <v>178</v>
      </c>
      <c r="D15" t="s">
        <v>10</v>
      </c>
      <c r="E15" t="s">
        <v>86</v>
      </c>
      <c r="F15" t="s">
        <v>86</v>
      </c>
      <c r="G15" t="s">
        <v>10</v>
      </c>
      <c r="H15" t="s">
        <v>8</v>
      </c>
      <c r="I15" t="s">
        <v>557</v>
      </c>
      <c r="J15" t="s">
        <v>558</v>
      </c>
      <c r="K15" t="s">
        <v>423</v>
      </c>
      <c r="L15" t="s">
        <v>451</v>
      </c>
      <c r="M15" t="s">
        <v>487</v>
      </c>
      <c r="N15" t="s">
        <v>487</v>
      </c>
    </row>
    <row r="16" spans="1:14" x14ac:dyDescent="0.25">
      <c r="A16" t="s">
        <v>225</v>
      </c>
      <c r="B16" t="s">
        <v>376</v>
      </c>
      <c r="C16" t="s">
        <v>184</v>
      </c>
      <c r="D16" t="s">
        <v>61</v>
      </c>
      <c r="E16" t="s">
        <v>113</v>
      </c>
      <c r="F16" t="s">
        <v>113</v>
      </c>
      <c r="G16" t="s">
        <v>113</v>
      </c>
      <c r="H16" t="s">
        <v>111</v>
      </c>
      <c r="I16" t="s">
        <v>542</v>
      </c>
      <c r="J16" t="s">
        <v>484</v>
      </c>
      <c r="K16" t="s">
        <v>451</v>
      </c>
      <c r="L16" t="s">
        <v>432</v>
      </c>
      <c r="M16" t="s">
        <v>487</v>
      </c>
      <c r="N16" t="s">
        <v>559</v>
      </c>
    </row>
    <row r="17" spans="1:14" x14ac:dyDescent="0.25">
      <c r="A17" t="s">
        <v>226</v>
      </c>
      <c r="B17" t="s">
        <v>377</v>
      </c>
      <c r="C17" t="s">
        <v>186</v>
      </c>
      <c r="D17" t="s">
        <v>73</v>
      </c>
      <c r="E17" t="s">
        <v>100</v>
      </c>
      <c r="F17" t="s">
        <v>73</v>
      </c>
      <c r="G17" t="s">
        <v>100</v>
      </c>
      <c r="H17" t="s">
        <v>101</v>
      </c>
      <c r="I17" t="s">
        <v>544</v>
      </c>
      <c r="J17" t="s">
        <v>547</v>
      </c>
      <c r="K17" t="s">
        <v>436</v>
      </c>
      <c r="L17" t="s">
        <v>423</v>
      </c>
      <c r="M17" t="s">
        <v>487</v>
      </c>
      <c r="N17" t="s">
        <v>560</v>
      </c>
    </row>
    <row r="18" spans="1:14" x14ac:dyDescent="0.25">
      <c r="A18" t="s">
        <v>227</v>
      </c>
      <c r="B18" t="s">
        <v>378</v>
      </c>
      <c r="C18" t="s">
        <v>180</v>
      </c>
      <c r="D18" t="s">
        <v>36</v>
      </c>
      <c r="E18" t="s">
        <v>10</v>
      </c>
      <c r="F18" t="s">
        <v>10</v>
      </c>
      <c r="G18" t="s">
        <v>36</v>
      </c>
      <c r="H18" t="s">
        <v>34</v>
      </c>
      <c r="I18" t="s">
        <v>454</v>
      </c>
      <c r="J18" t="s">
        <v>541</v>
      </c>
      <c r="K18" t="s">
        <v>429</v>
      </c>
      <c r="L18" t="s">
        <v>451</v>
      </c>
      <c r="M18" t="s">
        <v>487</v>
      </c>
      <c r="N18" t="s">
        <v>487</v>
      </c>
    </row>
    <row r="19" spans="1:14" x14ac:dyDescent="0.25">
      <c r="A19" t="s">
        <v>228</v>
      </c>
      <c r="B19" t="s">
        <v>379</v>
      </c>
      <c r="C19" t="s">
        <v>182</v>
      </c>
      <c r="D19" t="s">
        <v>49</v>
      </c>
      <c r="E19" t="s">
        <v>113</v>
      </c>
      <c r="F19" t="s">
        <v>49</v>
      </c>
      <c r="G19" t="s">
        <v>49</v>
      </c>
      <c r="H19" t="s">
        <v>53</v>
      </c>
      <c r="I19" t="s">
        <v>561</v>
      </c>
      <c r="J19" t="s">
        <v>557</v>
      </c>
      <c r="K19" t="s">
        <v>423</v>
      </c>
      <c r="L19" t="s">
        <v>434</v>
      </c>
      <c r="M19" t="s">
        <v>487</v>
      </c>
      <c r="N19" t="s">
        <v>487</v>
      </c>
    </row>
    <row r="20" spans="1:14" x14ac:dyDescent="0.25">
      <c r="A20" t="s">
        <v>229</v>
      </c>
      <c r="B20" t="s">
        <v>380</v>
      </c>
      <c r="C20" t="s">
        <v>188</v>
      </c>
      <c r="D20" t="s">
        <v>86</v>
      </c>
      <c r="E20" t="s">
        <v>61</v>
      </c>
      <c r="F20" t="s">
        <v>61</v>
      </c>
      <c r="G20" t="s">
        <v>86</v>
      </c>
      <c r="H20" t="s">
        <v>89</v>
      </c>
      <c r="I20" t="s">
        <v>562</v>
      </c>
      <c r="J20" t="s">
        <v>546</v>
      </c>
      <c r="K20" t="s">
        <v>479</v>
      </c>
      <c r="L20" t="s">
        <v>436</v>
      </c>
      <c r="M20" t="s">
        <v>487</v>
      </c>
      <c r="N20" t="s">
        <v>487</v>
      </c>
    </row>
    <row r="21" spans="1:14" x14ac:dyDescent="0.25">
      <c r="A21" t="s">
        <v>230</v>
      </c>
      <c r="B21" t="s">
        <v>381</v>
      </c>
      <c r="C21" t="s">
        <v>190</v>
      </c>
      <c r="D21" t="s">
        <v>100</v>
      </c>
      <c r="E21" t="s">
        <v>73</v>
      </c>
      <c r="F21" t="s">
        <v>73</v>
      </c>
      <c r="G21" t="s">
        <v>73</v>
      </c>
      <c r="H21" t="s">
        <v>79</v>
      </c>
      <c r="I21" t="s">
        <v>563</v>
      </c>
      <c r="J21" t="s">
        <v>564</v>
      </c>
      <c r="K21" t="s">
        <v>434</v>
      </c>
      <c r="L21" t="s">
        <v>429</v>
      </c>
      <c r="M21" t="s">
        <v>487</v>
      </c>
      <c r="N21" t="s">
        <v>559</v>
      </c>
    </row>
    <row r="22" spans="1:14" x14ac:dyDescent="0.25">
      <c r="A22" t="s">
        <v>231</v>
      </c>
      <c r="B22" t="s">
        <v>382</v>
      </c>
      <c r="C22" t="s">
        <v>178</v>
      </c>
      <c r="D22" t="s">
        <v>10</v>
      </c>
      <c r="E22" t="s">
        <v>61</v>
      </c>
      <c r="F22" t="s">
        <v>61</v>
      </c>
      <c r="G22" t="s">
        <v>10</v>
      </c>
      <c r="H22" t="s">
        <v>16</v>
      </c>
      <c r="I22" t="s">
        <v>478</v>
      </c>
      <c r="J22" t="s">
        <v>484</v>
      </c>
      <c r="K22" t="s">
        <v>434</v>
      </c>
      <c r="L22" t="s">
        <v>479</v>
      </c>
      <c r="M22" t="s">
        <v>487</v>
      </c>
      <c r="N22" t="s">
        <v>487</v>
      </c>
    </row>
    <row r="23" spans="1:14" x14ac:dyDescent="0.25">
      <c r="A23" t="s">
        <v>232</v>
      </c>
      <c r="B23" t="s">
        <v>383</v>
      </c>
      <c r="C23" t="s">
        <v>191</v>
      </c>
      <c r="D23" t="s">
        <v>113</v>
      </c>
      <c r="E23" t="s">
        <v>86</v>
      </c>
      <c r="F23" t="s">
        <v>86</v>
      </c>
      <c r="G23" t="s">
        <v>113</v>
      </c>
      <c r="H23" t="s">
        <v>115</v>
      </c>
      <c r="I23" t="s">
        <v>565</v>
      </c>
      <c r="J23" t="s">
        <v>566</v>
      </c>
      <c r="K23" t="s">
        <v>423</v>
      </c>
      <c r="L23" t="s">
        <v>434</v>
      </c>
      <c r="M23" t="s">
        <v>487</v>
      </c>
      <c r="N23" t="s">
        <v>487</v>
      </c>
    </row>
    <row r="24" spans="1:14" x14ac:dyDescent="0.25">
      <c r="A24" t="s">
        <v>233</v>
      </c>
      <c r="B24" t="s">
        <v>384</v>
      </c>
      <c r="C24" t="s">
        <v>180</v>
      </c>
      <c r="D24" t="s">
        <v>36</v>
      </c>
      <c r="E24" t="s">
        <v>49</v>
      </c>
      <c r="F24" t="s">
        <v>49</v>
      </c>
      <c r="G24" t="s">
        <v>49</v>
      </c>
      <c r="H24" t="s">
        <v>47</v>
      </c>
      <c r="I24" t="s">
        <v>531</v>
      </c>
      <c r="J24" t="s">
        <v>530</v>
      </c>
      <c r="K24" t="s">
        <v>451</v>
      </c>
      <c r="L24" t="s">
        <v>423</v>
      </c>
      <c r="M24" t="s">
        <v>487</v>
      </c>
      <c r="N24" t="s">
        <v>560</v>
      </c>
    </row>
    <row r="25" spans="1:14" x14ac:dyDescent="0.25">
      <c r="A25" t="s">
        <v>234</v>
      </c>
      <c r="B25" t="s">
        <v>385</v>
      </c>
      <c r="C25" t="s">
        <v>186</v>
      </c>
      <c r="D25" t="s">
        <v>73</v>
      </c>
      <c r="E25" t="s">
        <v>10</v>
      </c>
      <c r="F25" t="s">
        <v>73</v>
      </c>
      <c r="G25" t="s">
        <v>10</v>
      </c>
      <c r="H25" t="s">
        <v>21</v>
      </c>
      <c r="I25" t="s">
        <v>567</v>
      </c>
      <c r="J25" t="s">
        <v>546</v>
      </c>
      <c r="K25" t="s">
        <v>429</v>
      </c>
      <c r="L25" t="s">
        <v>432</v>
      </c>
      <c r="M25" t="s">
        <v>487</v>
      </c>
      <c r="N25" t="s">
        <v>559</v>
      </c>
    </row>
    <row r="26" spans="1:14" x14ac:dyDescent="0.25">
      <c r="A26" t="s">
        <v>235</v>
      </c>
      <c r="B26" t="s">
        <v>386</v>
      </c>
      <c r="C26" t="s">
        <v>190</v>
      </c>
      <c r="D26" t="s">
        <v>100</v>
      </c>
      <c r="E26" t="s">
        <v>113</v>
      </c>
      <c r="F26" t="s">
        <v>100</v>
      </c>
      <c r="G26" t="s">
        <v>113</v>
      </c>
      <c r="H26" t="s">
        <v>119</v>
      </c>
      <c r="I26" t="s">
        <v>558</v>
      </c>
      <c r="J26" t="s">
        <v>556</v>
      </c>
      <c r="K26" t="s">
        <v>423</v>
      </c>
      <c r="L26" t="s">
        <v>429</v>
      </c>
      <c r="M26" t="s">
        <v>487</v>
      </c>
      <c r="N26" t="s">
        <v>555</v>
      </c>
    </row>
    <row r="27" spans="1:14" x14ac:dyDescent="0.25">
      <c r="A27" t="s">
        <v>236</v>
      </c>
      <c r="B27" t="s">
        <v>387</v>
      </c>
      <c r="C27" t="s">
        <v>184</v>
      </c>
      <c r="D27" t="s">
        <v>61</v>
      </c>
      <c r="E27" t="s">
        <v>36</v>
      </c>
      <c r="F27" t="s">
        <v>36</v>
      </c>
      <c r="G27" t="s">
        <v>36</v>
      </c>
      <c r="H27" t="s">
        <v>44</v>
      </c>
      <c r="I27" t="s">
        <v>522</v>
      </c>
      <c r="J27" t="s">
        <v>553</v>
      </c>
      <c r="K27" t="s">
        <v>479</v>
      </c>
      <c r="L27" t="s">
        <v>434</v>
      </c>
      <c r="M27" t="s">
        <v>487</v>
      </c>
      <c r="N27" t="s">
        <v>545</v>
      </c>
    </row>
    <row r="28" spans="1:14" x14ac:dyDescent="0.25">
      <c r="A28" t="s">
        <v>237</v>
      </c>
      <c r="B28" t="s">
        <v>388</v>
      </c>
      <c r="C28" t="s">
        <v>188</v>
      </c>
      <c r="D28" t="s">
        <v>86</v>
      </c>
      <c r="E28" t="s">
        <v>49</v>
      </c>
      <c r="F28" t="s">
        <v>49</v>
      </c>
      <c r="G28" t="s">
        <v>86</v>
      </c>
      <c r="H28" t="s">
        <v>84</v>
      </c>
      <c r="I28" t="s">
        <v>527</v>
      </c>
      <c r="J28" t="s">
        <v>537</v>
      </c>
      <c r="K28" t="s">
        <v>429</v>
      </c>
      <c r="L28" t="s">
        <v>451</v>
      </c>
      <c r="M28" t="s">
        <v>487</v>
      </c>
      <c r="N28" t="s">
        <v>487</v>
      </c>
    </row>
    <row r="29" spans="1:14" x14ac:dyDescent="0.25">
      <c r="A29" t="s">
        <v>238</v>
      </c>
      <c r="B29" t="s">
        <v>389</v>
      </c>
      <c r="C29" t="s">
        <v>178</v>
      </c>
      <c r="D29" t="s">
        <v>10</v>
      </c>
      <c r="E29" t="s">
        <v>73</v>
      </c>
      <c r="F29" t="s">
        <v>10</v>
      </c>
      <c r="G29" t="s">
        <v>10</v>
      </c>
      <c r="H29" t="s">
        <v>27</v>
      </c>
      <c r="I29" t="s">
        <v>568</v>
      </c>
      <c r="J29" t="s">
        <v>569</v>
      </c>
      <c r="K29" t="s">
        <v>424</v>
      </c>
      <c r="L29" t="s">
        <v>479</v>
      </c>
      <c r="M29" t="s">
        <v>487</v>
      </c>
      <c r="N29" t="s">
        <v>487</v>
      </c>
    </row>
    <row r="30" spans="1:14" x14ac:dyDescent="0.25">
      <c r="A30" t="s">
        <v>239</v>
      </c>
      <c r="B30" t="s">
        <v>390</v>
      </c>
      <c r="C30" t="s">
        <v>191</v>
      </c>
      <c r="D30" t="s">
        <v>113</v>
      </c>
      <c r="E30" t="s">
        <v>100</v>
      </c>
      <c r="F30" t="s">
        <v>113</v>
      </c>
      <c r="G30" t="s">
        <v>100</v>
      </c>
      <c r="H30" t="s">
        <v>105</v>
      </c>
      <c r="I30" t="s">
        <v>570</v>
      </c>
      <c r="J30" t="s">
        <v>566</v>
      </c>
      <c r="K30" t="s">
        <v>434</v>
      </c>
      <c r="L30" t="s">
        <v>423</v>
      </c>
      <c r="M30" t="s">
        <v>487</v>
      </c>
      <c r="N30" t="s">
        <v>538</v>
      </c>
    </row>
    <row r="31" spans="1:14" x14ac:dyDescent="0.25">
      <c r="A31" t="s">
        <v>240</v>
      </c>
      <c r="B31" t="s">
        <v>391</v>
      </c>
      <c r="C31" t="s">
        <v>180</v>
      </c>
      <c r="D31" t="s">
        <v>36</v>
      </c>
      <c r="E31" t="s">
        <v>61</v>
      </c>
      <c r="F31" t="s">
        <v>61</v>
      </c>
      <c r="G31" t="s">
        <v>61</v>
      </c>
      <c r="H31" t="s">
        <v>59</v>
      </c>
      <c r="I31" t="s">
        <v>571</v>
      </c>
      <c r="J31" t="s">
        <v>454</v>
      </c>
      <c r="K31" t="s">
        <v>423</v>
      </c>
      <c r="L31" t="s">
        <v>429</v>
      </c>
      <c r="M31" t="s">
        <v>487</v>
      </c>
      <c r="N31" t="s">
        <v>555</v>
      </c>
    </row>
    <row r="32" spans="1:14" x14ac:dyDescent="0.25">
      <c r="A32" t="s">
        <v>241</v>
      </c>
      <c r="B32" t="s">
        <v>392</v>
      </c>
      <c r="C32" t="s">
        <v>182</v>
      </c>
      <c r="D32" t="s">
        <v>49</v>
      </c>
      <c r="E32" t="s">
        <v>10</v>
      </c>
      <c r="F32" t="s">
        <v>10</v>
      </c>
      <c r="G32" t="s">
        <v>49</v>
      </c>
      <c r="H32" t="s">
        <v>56</v>
      </c>
      <c r="I32" t="s">
        <v>572</v>
      </c>
      <c r="J32" t="s">
        <v>527</v>
      </c>
      <c r="K32" t="s">
        <v>432</v>
      </c>
      <c r="L32" t="s">
        <v>451</v>
      </c>
      <c r="M32" t="s">
        <v>487</v>
      </c>
      <c r="N32" t="s">
        <v>487</v>
      </c>
    </row>
    <row r="33" spans="1:14" x14ac:dyDescent="0.25">
      <c r="A33" t="s">
        <v>242</v>
      </c>
      <c r="B33" t="s">
        <v>393</v>
      </c>
      <c r="C33" t="s">
        <v>186</v>
      </c>
      <c r="D33" t="s">
        <v>73</v>
      </c>
      <c r="E33" t="s">
        <v>86</v>
      </c>
      <c r="F33" t="s">
        <v>86</v>
      </c>
      <c r="G33" t="s">
        <v>73</v>
      </c>
      <c r="H33" t="s">
        <v>81</v>
      </c>
      <c r="I33" t="s">
        <v>484</v>
      </c>
      <c r="J33" t="s">
        <v>542</v>
      </c>
      <c r="K33" t="s">
        <v>423</v>
      </c>
      <c r="L33" t="s">
        <v>434</v>
      </c>
      <c r="M33" t="s">
        <v>487</v>
      </c>
      <c r="N33" t="s">
        <v>487</v>
      </c>
    </row>
    <row r="34" spans="1:14" x14ac:dyDescent="0.25">
      <c r="A34" t="s">
        <v>243</v>
      </c>
      <c r="B34" t="s">
        <v>394</v>
      </c>
      <c r="C34" t="s">
        <v>190</v>
      </c>
      <c r="D34" t="s">
        <v>100</v>
      </c>
      <c r="E34" t="s">
        <v>36</v>
      </c>
      <c r="F34" t="s">
        <v>100</v>
      </c>
      <c r="G34" t="s">
        <v>100</v>
      </c>
      <c r="H34" t="s">
        <v>107</v>
      </c>
      <c r="I34" t="s">
        <v>573</v>
      </c>
      <c r="J34" t="s">
        <v>478</v>
      </c>
      <c r="K34" t="s">
        <v>429</v>
      </c>
      <c r="L34" t="s">
        <v>479</v>
      </c>
      <c r="M34" t="s">
        <v>487</v>
      </c>
      <c r="N34" t="s">
        <v>487</v>
      </c>
    </row>
    <row r="35" spans="1:14" x14ac:dyDescent="0.25">
      <c r="A35" t="s">
        <v>244</v>
      </c>
      <c r="B35" t="s">
        <v>395</v>
      </c>
      <c r="C35" t="s">
        <v>184</v>
      </c>
      <c r="D35" t="s">
        <v>61</v>
      </c>
      <c r="E35" t="s">
        <v>73</v>
      </c>
      <c r="F35" t="s">
        <v>73</v>
      </c>
      <c r="G35" t="s">
        <v>61</v>
      </c>
      <c r="H35" t="s">
        <v>63</v>
      </c>
      <c r="I35" t="s">
        <v>537</v>
      </c>
      <c r="J35" t="s">
        <v>541</v>
      </c>
      <c r="K35" t="s">
        <v>434</v>
      </c>
      <c r="L35" t="s">
        <v>479</v>
      </c>
      <c r="M35" t="s">
        <v>487</v>
      </c>
      <c r="N35" t="s">
        <v>487</v>
      </c>
    </row>
    <row r="36" spans="1:14" x14ac:dyDescent="0.25">
      <c r="A36" t="s">
        <v>245</v>
      </c>
      <c r="B36" t="s">
        <v>396</v>
      </c>
      <c r="C36" t="s">
        <v>191</v>
      </c>
      <c r="D36" t="s">
        <v>113</v>
      </c>
      <c r="E36" t="s">
        <v>49</v>
      </c>
      <c r="F36" t="s">
        <v>113</v>
      </c>
      <c r="G36" t="s">
        <v>113</v>
      </c>
      <c r="H36" t="s">
        <v>117</v>
      </c>
      <c r="I36" t="s">
        <v>574</v>
      </c>
      <c r="J36" t="s">
        <v>575</v>
      </c>
      <c r="K36" t="s">
        <v>429</v>
      </c>
      <c r="L36" t="s">
        <v>451</v>
      </c>
      <c r="M36" t="s">
        <v>487</v>
      </c>
      <c r="N36" t="s">
        <v>487</v>
      </c>
    </row>
    <row r="37" spans="1:14" x14ac:dyDescent="0.25">
      <c r="A37" t="s">
        <v>246</v>
      </c>
      <c r="B37" t="s">
        <v>397</v>
      </c>
      <c r="C37" t="s">
        <v>178</v>
      </c>
      <c r="D37" t="s">
        <v>10</v>
      </c>
      <c r="E37" t="s">
        <v>100</v>
      </c>
      <c r="F37" t="s">
        <v>100</v>
      </c>
      <c r="G37" t="s">
        <v>10</v>
      </c>
      <c r="H37" t="s">
        <v>31</v>
      </c>
      <c r="I37" t="s">
        <v>576</v>
      </c>
      <c r="J37" t="s">
        <v>562</v>
      </c>
      <c r="K37" t="s">
        <v>432</v>
      </c>
      <c r="L37" t="s">
        <v>451</v>
      </c>
      <c r="M37" t="s">
        <v>487</v>
      </c>
      <c r="N37" t="s">
        <v>487</v>
      </c>
    </row>
    <row r="38" spans="1:14" x14ac:dyDescent="0.25">
      <c r="A38" t="s">
        <v>247</v>
      </c>
      <c r="B38" t="s">
        <v>398</v>
      </c>
      <c r="C38" t="s">
        <v>188</v>
      </c>
      <c r="D38" t="s">
        <v>86</v>
      </c>
      <c r="E38" t="s">
        <v>113</v>
      </c>
      <c r="F38" t="s">
        <v>113</v>
      </c>
      <c r="G38" t="s">
        <v>86</v>
      </c>
      <c r="H38" t="s">
        <v>91</v>
      </c>
      <c r="I38" t="s">
        <v>577</v>
      </c>
      <c r="J38" t="s">
        <v>475</v>
      </c>
      <c r="K38" t="s">
        <v>451</v>
      </c>
      <c r="L38" t="s">
        <v>436</v>
      </c>
      <c r="M38" t="s">
        <v>487</v>
      </c>
      <c r="N38" t="s">
        <v>538</v>
      </c>
    </row>
    <row r="39" spans="1:14" x14ac:dyDescent="0.25">
      <c r="A39" t="s">
        <v>248</v>
      </c>
      <c r="B39" t="s">
        <v>399</v>
      </c>
      <c r="C39" t="s">
        <v>180</v>
      </c>
      <c r="D39" t="s">
        <v>36</v>
      </c>
      <c r="E39" t="s">
        <v>73</v>
      </c>
      <c r="F39" t="s">
        <v>73</v>
      </c>
      <c r="G39" t="s">
        <v>36</v>
      </c>
      <c r="H39" t="s">
        <v>37</v>
      </c>
      <c r="I39" t="s">
        <v>578</v>
      </c>
      <c r="J39" t="s">
        <v>566</v>
      </c>
      <c r="K39" t="s">
        <v>434</v>
      </c>
      <c r="L39" t="s">
        <v>451</v>
      </c>
      <c r="M39" t="s">
        <v>487</v>
      </c>
      <c r="N39" t="s">
        <v>487</v>
      </c>
    </row>
    <row r="40" spans="1:14" x14ac:dyDescent="0.25">
      <c r="A40" t="s">
        <v>249</v>
      </c>
      <c r="B40" t="s">
        <v>400</v>
      </c>
      <c r="C40" t="s">
        <v>182</v>
      </c>
      <c r="D40" t="s">
        <v>49</v>
      </c>
      <c r="E40" t="s">
        <v>61</v>
      </c>
      <c r="F40" t="s">
        <v>61</v>
      </c>
      <c r="G40" t="s">
        <v>49</v>
      </c>
      <c r="H40" t="s">
        <v>47</v>
      </c>
      <c r="I40" t="s">
        <v>459</v>
      </c>
      <c r="J40" t="s">
        <v>572</v>
      </c>
      <c r="K40" t="s">
        <v>429</v>
      </c>
      <c r="L40" t="s">
        <v>451</v>
      </c>
      <c r="M40" t="s">
        <v>487</v>
      </c>
      <c r="N40" t="s">
        <v>487</v>
      </c>
    </row>
    <row r="41" spans="1:14" x14ac:dyDescent="0.25">
      <c r="A41" t="s">
        <v>250</v>
      </c>
      <c r="B41" t="s">
        <v>401</v>
      </c>
      <c r="C41" t="s">
        <v>190</v>
      </c>
      <c r="D41" t="s">
        <v>100</v>
      </c>
      <c r="E41" t="s">
        <v>86</v>
      </c>
      <c r="F41" t="s">
        <v>100</v>
      </c>
      <c r="G41" t="s">
        <v>86</v>
      </c>
      <c r="H41" t="s">
        <v>95</v>
      </c>
      <c r="I41" t="s">
        <v>454</v>
      </c>
      <c r="J41" t="s">
        <v>536</v>
      </c>
      <c r="K41" t="s">
        <v>434</v>
      </c>
      <c r="L41" t="s">
        <v>432</v>
      </c>
      <c r="M41" t="s">
        <v>487</v>
      </c>
      <c r="N41" t="s">
        <v>560</v>
      </c>
    </row>
    <row r="42" spans="1:14" x14ac:dyDescent="0.25">
      <c r="A42" t="s">
        <v>251</v>
      </c>
      <c r="B42" t="s">
        <v>402</v>
      </c>
      <c r="C42" t="s">
        <v>191</v>
      </c>
      <c r="D42" t="s">
        <v>113</v>
      </c>
      <c r="E42" t="s">
        <v>10</v>
      </c>
      <c r="F42" t="s">
        <v>10</v>
      </c>
      <c r="G42" t="s">
        <v>113</v>
      </c>
      <c r="H42" t="s">
        <v>111</v>
      </c>
      <c r="I42" t="s">
        <v>529</v>
      </c>
      <c r="J42" t="s">
        <v>569</v>
      </c>
      <c r="K42" t="s">
        <v>423</v>
      </c>
      <c r="L42" t="s">
        <v>434</v>
      </c>
      <c r="M42" t="s">
        <v>487</v>
      </c>
      <c r="N42" t="s">
        <v>487</v>
      </c>
    </row>
    <row r="43" spans="1:14" x14ac:dyDescent="0.25">
      <c r="A43" t="s">
        <v>252</v>
      </c>
      <c r="B43" t="s">
        <v>403</v>
      </c>
      <c r="C43" t="s">
        <v>186</v>
      </c>
      <c r="D43" t="s">
        <v>73</v>
      </c>
      <c r="E43" t="s">
        <v>36</v>
      </c>
      <c r="F43" t="s">
        <v>36</v>
      </c>
      <c r="G43" t="s">
        <v>73</v>
      </c>
      <c r="H43" t="s">
        <v>71</v>
      </c>
      <c r="I43" t="s">
        <v>556</v>
      </c>
      <c r="J43" t="s">
        <v>478</v>
      </c>
      <c r="K43" t="s">
        <v>432</v>
      </c>
      <c r="L43" t="s">
        <v>479</v>
      </c>
      <c r="M43" t="s">
        <v>487</v>
      </c>
      <c r="N43" t="s">
        <v>487</v>
      </c>
    </row>
    <row r="44" spans="1:14" x14ac:dyDescent="0.25">
      <c r="A44" t="s">
        <v>253</v>
      </c>
      <c r="B44" t="s">
        <v>404</v>
      </c>
      <c r="C44" t="s">
        <v>178</v>
      </c>
      <c r="D44" t="s">
        <v>10</v>
      </c>
      <c r="E44" t="s">
        <v>49</v>
      </c>
      <c r="F44" t="s">
        <v>49</v>
      </c>
      <c r="G44" t="s">
        <v>49</v>
      </c>
      <c r="H44" t="s">
        <v>51</v>
      </c>
      <c r="I44" t="s">
        <v>554</v>
      </c>
      <c r="J44" t="s">
        <v>505</v>
      </c>
      <c r="K44" t="s">
        <v>479</v>
      </c>
      <c r="L44" t="s">
        <v>429</v>
      </c>
      <c r="M44" t="s">
        <v>487</v>
      </c>
      <c r="N44" t="s">
        <v>555</v>
      </c>
    </row>
    <row r="45" spans="1:14" x14ac:dyDescent="0.25">
      <c r="A45" t="s">
        <v>254</v>
      </c>
      <c r="B45" t="s">
        <v>405</v>
      </c>
      <c r="C45" t="s">
        <v>184</v>
      </c>
      <c r="D45" t="s">
        <v>61</v>
      </c>
      <c r="E45" t="s">
        <v>86</v>
      </c>
      <c r="F45" t="s">
        <v>86</v>
      </c>
      <c r="G45" t="s">
        <v>61</v>
      </c>
      <c r="H45" t="s">
        <v>59</v>
      </c>
      <c r="I45" t="s">
        <v>575</v>
      </c>
      <c r="J45" t="s">
        <v>557</v>
      </c>
      <c r="K45" t="s">
        <v>424</v>
      </c>
      <c r="L45" t="s">
        <v>451</v>
      </c>
      <c r="M45" t="s">
        <v>487</v>
      </c>
      <c r="N45" t="s">
        <v>487</v>
      </c>
    </row>
    <row r="46" spans="1:14" x14ac:dyDescent="0.25">
      <c r="A46" t="s">
        <v>255</v>
      </c>
      <c r="B46" t="s">
        <v>406</v>
      </c>
      <c r="C46" t="s">
        <v>191</v>
      </c>
      <c r="D46" t="s">
        <v>113</v>
      </c>
      <c r="E46" t="s">
        <v>73</v>
      </c>
      <c r="F46" t="s">
        <v>73</v>
      </c>
      <c r="G46" t="s">
        <v>113</v>
      </c>
      <c r="H46" t="s">
        <v>119</v>
      </c>
      <c r="I46" t="s">
        <v>530</v>
      </c>
      <c r="J46" t="s">
        <v>531</v>
      </c>
      <c r="K46" t="s">
        <v>434</v>
      </c>
      <c r="L46" t="s">
        <v>479</v>
      </c>
      <c r="M46" t="s">
        <v>487</v>
      </c>
      <c r="N46" t="s">
        <v>487</v>
      </c>
    </row>
    <row r="47" spans="1:14" x14ac:dyDescent="0.25">
      <c r="A47" t="s">
        <v>256</v>
      </c>
      <c r="B47" t="s">
        <v>407</v>
      </c>
      <c r="C47" t="s">
        <v>180</v>
      </c>
      <c r="D47" t="s">
        <v>36</v>
      </c>
      <c r="E47" t="s">
        <v>86</v>
      </c>
      <c r="F47" t="s">
        <v>86</v>
      </c>
      <c r="G47" t="s">
        <v>36</v>
      </c>
      <c r="H47" t="s">
        <v>34</v>
      </c>
      <c r="I47" t="s">
        <v>528</v>
      </c>
      <c r="J47" t="s">
        <v>529</v>
      </c>
      <c r="K47" t="s">
        <v>432</v>
      </c>
      <c r="L47" t="s">
        <v>451</v>
      </c>
      <c r="M47" t="s">
        <v>487</v>
      </c>
      <c r="N47" t="s">
        <v>487</v>
      </c>
    </row>
    <row r="48" spans="1:14" x14ac:dyDescent="0.25">
      <c r="A48" t="s">
        <v>257</v>
      </c>
      <c r="B48" t="s">
        <v>408</v>
      </c>
      <c r="C48" t="s">
        <v>190</v>
      </c>
      <c r="D48" t="s">
        <v>100</v>
      </c>
      <c r="E48" t="s">
        <v>61</v>
      </c>
      <c r="F48" t="s">
        <v>100</v>
      </c>
      <c r="G48" t="s">
        <v>61</v>
      </c>
      <c r="H48" t="s">
        <v>63</v>
      </c>
      <c r="I48" t="s">
        <v>532</v>
      </c>
      <c r="J48" t="s">
        <v>533</v>
      </c>
      <c r="K48" t="s">
        <v>423</v>
      </c>
      <c r="L48" t="s">
        <v>434</v>
      </c>
      <c r="M48" t="s">
        <v>487</v>
      </c>
      <c r="N48" t="s">
        <v>487</v>
      </c>
    </row>
    <row r="49" spans="1:14" x14ac:dyDescent="0.25">
      <c r="A49" t="s">
        <v>258</v>
      </c>
      <c r="B49" t="s">
        <v>409</v>
      </c>
      <c r="C49" t="s">
        <v>182</v>
      </c>
      <c r="D49" t="s">
        <v>49</v>
      </c>
      <c r="E49" t="s">
        <v>10</v>
      </c>
      <c r="F49" t="s">
        <v>10</v>
      </c>
      <c r="G49" t="s">
        <v>86</v>
      </c>
      <c r="H49" t="s">
        <v>84</v>
      </c>
      <c r="I49" t="s">
        <v>534</v>
      </c>
      <c r="J49" t="s">
        <v>505</v>
      </c>
      <c r="K49" t="s">
        <v>429</v>
      </c>
      <c r="L49" t="s">
        <v>436</v>
      </c>
      <c r="M49" t="s">
        <v>487</v>
      </c>
      <c r="N49" t="s">
        <v>535</v>
      </c>
    </row>
    <row r="50" spans="1:14" x14ac:dyDescent="0.25">
      <c r="A50" t="s">
        <v>259</v>
      </c>
      <c r="B50" t="s">
        <v>410</v>
      </c>
      <c r="C50" t="s">
        <v>186</v>
      </c>
      <c r="D50" t="s">
        <v>73</v>
      </c>
      <c r="E50" t="s">
        <v>49</v>
      </c>
      <c r="F50" t="s">
        <v>49</v>
      </c>
      <c r="G50" t="s">
        <v>86</v>
      </c>
      <c r="H50" t="s">
        <v>95</v>
      </c>
      <c r="I50" t="s">
        <v>536</v>
      </c>
      <c r="J50" t="s">
        <v>537</v>
      </c>
      <c r="K50" t="s">
        <v>429</v>
      </c>
      <c r="L50" t="s">
        <v>432</v>
      </c>
      <c r="M50" t="s">
        <v>487</v>
      </c>
      <c r="N50" t="s">
        <v>538</v>
      </c>
    </row>
    <row r="51" spans="1:14" x14ac:dyDescent="0.25">
      <c r="A51" t="s">
        <v>260</v>
      </c>
      <c r="B51" t="s">
        <v>411</v>
      </c>
      <c r="C51" t="s">
        <v>188</v>
      </c>
      <c r="D51" t="s">
        <v>86</v>
      </c>
      <c r="E51" t="s">
        <v>36</v>
      </c>
      <c r="F51" t="s">
        <v>73</v>
      </c>
      <c r="G51" t="s">
        <v>61</v>
      </c>
      <c r="H51" t="s">
        <v>66</v>
      </c>
      <c r="I51" t="s">
        <v>539</v>
      </c>
      <c r="J51" t="s">
        <v>505</v>
      </c>
      <c r="K51" t="s">
        <v>451</v>
      </c>
      <c r="L51" t="s">
        <v>424</v>
      </c>
      <c r="M51" t="s">
        <v>487</v>
      </c>
      <c r="N51" t="s">
        <v>540</v>
      </c>
    </row>
    <row r="52" spans="1:14" x14ac:dyDescent="0.25">
      <c r="A52" t="s">
        <v>261</v>
      </c>
      <c r="B52" t="s">
        <v>412</v>
      </c>
      <c r="C52" t="s">
        <v>178</v>
      </c>
      <c r="D52" t="s">
        <v>10</v>
      </c>
      <c r="E52" t="s">
        <v>36</v>
      </c>
      <c r="F52" t="s">
        <v>100</v>
      </c>
      <c r="G52" t="s">
        <v>36</v>
      </c>
      <c r="H52" t="s">
        <v>37</v>
      </c>
      <c r="I52" t="s">
        <v>541</v>
      </c>
      <c r="J52" t="s">
        <v>542</v>
      </c>
      <c r="K52" t="s">
        <v>423</v>
      </c>
      <c r="L52" t="s">
        <v>479</v>
      </c>
      <c r="M52" t="s">
        <v>487</v>
      </c>
      <c r="N52" t="s">
        <v>487</v>
      </c>
    </row>
    <row r="53" spans="1:14" x14ac:dyDescent="0.25">
      <c r="A53" t="s">
        <v>262</v>
      </c>
      <c r="B53" t="s">
        <v>413</v>
      </c>
      <c r="C53" t="s">
        <v>184</v>
      </c>
      <c r="D53" t="s">
        <v>61</v>
      </c>
      <c r="E53" t="s">
        <v>113</v>
      </c>
      <c r="F53" t="s">
        <v>10</v>
      </c>
      <c r="G53" t="s">
        <v>113</v>
      </c>
      <c r="H53" t="s">
        <v>117</v>
      </c>
      <c r="I53" t="s">
        <v>543</v>
      </c>
      <c r="J53" t="s">
        <v>544</v>
      </c>
      <c r="K53" t="s">
        <v>436</v>
      </c>
      <c r="L53" t="s">
        <v>424</v>
      </c>
      <c r="M53" t="s">
        <v>545</v>
      </c>
      <c r="N53" t="s">
        <v>465</v>
      </c>
    </row>
    <row r="54" spans="1:14" x14ac:dyDescent="0.25">
      <c r="A54" t="s">
        <v>263</v>
      </c>
      <c r="B54" t="s">
        <v>414</v>
      </c>
      <c r="C54" t="s">
        <v>191</v>
      </c>
      <c r="D54" t="s">
        <v>113</v>
      </c>
      <c r="E54" t="s">
        <v>49</v>
      </c>
      <c r="F54" t="s">
        <v>49</v>
      </c>
      <c r="G54" t="s">
        <v>61</v>
      </c>
      <c r="H54" t="s">
        <v>68</v>
      </c>
      <c r="I54" t="s">
        <v>546</v>
      </c>
      <c r="J54" t="s">
        <v>547</v>
      </c>
      <c r="K54" t="s">
        <v>429</v>
      </c>
      <c r="L54" t="s">
        <v>479</v>
      </c>
      <c r="M54" t="s">
        <v>487</v>
      </c>
      <c r="N54" t="s">
        <v>548</v>
      </c>
    </row>
    <row r="55" spans="1:14" x14ac:dyDescent="0.25">
      <c r="A55" t="s">
        <v>264</v>
      </c>
      <c r="B55" t="s">
        <v>415</v>
      </c>
      <c r="C55" t="s">
        <v>190</v>
      </c>
      <c r="D55" t="s">
        <v>100</v>
      </c>
      <c r="E55" t="s">
        <v>73</v>
      </c>
      <c r="F55" t="s">
        <v>73</v>
      </c>
      <c r="G55" t="s">
        <v>73</v>
      </c>
      <c r="H55" t="s">
        <v>75</v>
      </c>
      <c r="I55" t="s">
        <v>549</v>
      </c>
      <c r="J55" t="s">
        <v>475</v>
      </c>
      <c r="K55" t="s">
        <v>479</v>
      </c>
      <c r="L55" t="s">
        <v>432</v>
      </c>
      <c r="M55" t="s">
        <v>487</v>
      </c>
      <c r="N55" t="s">
        <v>550</v>
      </c>
    </row>
    <row r="56" spans="1:14" x14ac:dyDescent="0.25">
      <c r="A56" t="s">
        <v>265</v>
      </c>
      <c r="B56" t="s">
        <v>416</v>
      </c>
      <c r="C56" t="s">
        <v>182</v>
      </c>
      <c r="D56" t="s">
        <v>49</v>
      </c>
      <c r="E56" t="s">
        <v>86</v>
      </c>
      <c r="F56" t="s">
        <v>10</v>
      </c>
      <c r="G56" t="s">
        <v>100</v>
      </c>
      <c r="H56" t="s">
        <v>98</v>
      </c>
      <c r="I56" t="s">
        <v>551</v>
      </c>
      <c r="J56" t="s">
        <v>552</v>
      </c>
      <c r="K56" t="s">
        <v>434</v>
      </c>
      <c r="L56" t="s">
        <v>451</v>
      </c>
      <c r="M56" t="s">
        <v>487</v>
      </c>
      <c r="N56" t="s">
        <v>540</v>
      </c>
    </row>
    <row r="57" spans="1:14" x14ac:dyDescent="0.25">
      <c r="A57" t="s">
        <v>266</v>
      </c>
      <c r="B57" t="s">
        <v>417</v>
      </c>
      <c r="C57" t="s">
        <v>178</v>
      </c>
      <c r="D57" t="s">
        <v>10</v>
      </c>
      <c r="E57" t="s">
        <v>61</v>
      </c>
      <c r="F57" t="s">
        <v>36</v>
      </c>
      <c r="G57" t="s">
        <v>36</v>
      </c>
      <c r="H57" t="s">
        <v>41</v>
      </c>
      <c r="I57" t="s">
        <v>553</v>
      </c>
      <c r="J57" t="s">
        <v>554</v>
      </c>
      <c r="K57" t="s">
        <v>451</v>
      </c>
      <c r="L57" t="s">
        <v>423</v>
      </c>
      <c r="M57" t="s">
        <v>487</v>
      </c>
      <c r="N57" t="s">
        <v>555</v>
      </c>
    </row>
    <row r="58" spans="1:14" x14ac:dyDescent="0.25">
      <c r="A58" t="s">
        <v>267</v>
      </c>
      <c r="B58" t="s">
        <v>418</v>
      </c>
      <c r="C58" t="s">
        <v>180</v>
      </c>
      <c r="D58" t="s">
        <v>36</v>
      </c>
      <c r="E58" t="s">
        <v>113</v>
      </c>
      <c r="F58" t="s">
        <v>73</v>
      </c>
      <c r="G58" t="s">
        <v>49</v>
      </c>
      <c r="H58" t="s">
        <v>47</v>
      </c>
      <c r="I58" t="s">
        <v>533</v>
      </c>
      <c r="J58" t="s">
        <v>556</v>
      </c>
      <c r="K58" t="s">
        <v>424</v>
      </c>
      <c r="L58" t="s">
        <v>451</v>
      </c>
      <c r="M58" t="s">
        <v>487</v>
      </c>
      <c r="N58" t="s">
        <v>487</v>
      </c>
    </row>
    <row r="59" spans="1:14" x14ac:dyDescent="0.25">
      <c r="A59" t="s">
        <v>268</v>
      </c>
      <c r="B59" t="s">
        <v>419</v>
      </c>
      <c r="C59" t="s">
        <v>186</v>
      </c>
      <c r="D59" t="s">
        <v>73</v>
      </c>
      <c r="E59" t="s">
        <v>86</v>
      </c>
      <c r="F59" t="s">
        <v>86</v>
      </c>
      <c r="G59" t="s">
        <v>10</v>
      </c>
      <c r="H59" t="s">
        <v>8</v>
      </c>
      <c r="I59" t="s">
        <v>557</v>
      </c>
      <c r="J59" t="s">
        <v>558</v>
      </c>
      <c r="K59" t="s">
        <v>423</v>
      </c>
      <c r="L59" t="s">
        <v>451</v>
      </c>
      <c r="M59" t="s">
        <v>487</v>
      </c>
      <c r="N59" t="s">
        <v>487</v>
      </c>
    </row>
    <row r="60" spans="1:14" x14ac:dyDescent="0.25">
      <c r="A60" t="s">
        <v>269</v>
      </c>
      <c r="B60" t="s">
        <v>420</v>
      </c>
      <c r="C60" t="s">
        <v>184</v>
      </c>
      <c r="D60" t="s">
        <v>61</v>
      </c>
      <c r="E60" t="s">
        <v>100</v>
      </c>
      <c r="F60" t="s">
        <v>113</v>
      </c>
      <c r="G60" t="s">
        <v>113</v>
      </c>
      <c r="H60" t="s">
        <v>111</v>
      </c>
      <c r="I60" t="s">
        <v>542</v>
      </c>
      <c r="J60" t="s">
        <v>484</v>
      </c>
      <c r="K60" t="s">
        <v>451</v>
      </c>
      <c r="L60" t="s">
        <v>432</v>
      </c>
      <c r="M60" t="s">
        <v>487</v>
      </c>
      <c r="N60" t="s">
        <v>559</v>
      </c>
    </row>
    <row r="61" spans="1:14" x14ac:dyDescent="0.25">
      <c r="A61" t="s">
        <v>270</v>
      </c>
      <c r="B61" t="s">
        <v>421</v>
      </c>
      <c r="C61" t="s">
        <v>188</v>
      </c>
      <c r="D61" t="s">
        <v>86</v>
      </c>
      <c r="E61" t="s">
        <v>10</v>
      </c>
      <c r="F61" t="s">
        <v>73</v>
      </c>
      <c r="G61" t="s">
        <v>100</v>
      </c>
      <c r="H61" t="s">
        <v>101</v>
      </c>
      <c r="I61" t="s">
        <v>544</v>
      </c>
      <c r="J61" t="s">
        <v>547</v>
      </c>
      <c r="K61" t="s">
        <v>436</v>
      </c>
      <c r="L61" t="s">
        <v>423</v>
      </c>
      <c r="M61" t="s">
        <v>487</v>
      </c>
      <c r="N61" t="s">
        <v>560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D038B-1C14-40A2-AD71-270A56E43421}">
  <dimension ref="A1:D11"/>
  <sheetViews>
    <sheetView workbookViewId="0"/>
  </sheetViews>
  <sheetFormatPr defaultRowHeight="15" x14ac:dyDescent="0.25"/>
  <cols>
    <col min="1" max="1" width="12" bestFit="1" customWidth="1"/>
    <col min="2" max="2" width="55.7109375" bestFit="1" customWidth="1"/>
    <col min="3" max="3" width="11.7109375" bestFit="1" customWidth="1"/>
    <col min="4" max="4" width="10.7109375" bestFit="1" customWidth="1"/>
  </cols>
  <sheetData>
    <row r="1" spans="1:4" x14ac:dyDescent="0.25">
      <c r="A1" t="s">
        <v>175</v>
      </c>
      <c r="B1" t="s">
        <v>176</v>
      </c>
      <c r="C1" t="s">
        <v>125</v>
      </c>
      <c r="D1" t="s">
        <v>177</v>
      </c>
    </row>
    <row r="2" spans="1:4" x14ac:dyDescent="0.25">
      <c r="A2" t="s">
        <v>178</v>
      </c>
      <c r="B2" t="s">
        <v>130</v>
      </c>
      <c r="C2" t="s">
        <v>131</v>
      </c>
      <c r="D2" t="s">
        <v>179</v>
      </c>
    </row>
    <row r="3" spans="1:4" x14ac:dyDescent="0.25">
      <c r="A3" t="s">
        <v>180</v>
      </c>
      <c r="B3" t="s">
        <v>136</v>
      </c>
      <c r="C3" t="s">
        <v>137</v>
      </c>
      <c r="D3" t="s">
        <v>181</v>
      </c>
    </row>
    <row r="4" spans="1:4" x14ac:dyDescent="0.25">
      <c r="A4" t="s">
        <v>182</v>
      </c>
      <c r="B4" t="s">
        <v>142</v>
      </c>
      <c r="C4" t="s">
        <v>143</v>
      </c>
      <c r="D4" t="s">
        <v>183</v>
      </c>
    </row>
    <row r="5" spans="1:4" x14ac:dyDescent="0.25">
      <c r="A5" t="s">
        <v>184</v>
      </c>
      <c r="B5" t="s">
        <v>148</v>
      </c>
      <c r="C5" t="s">
        <v>149</v>
      </c>
      <c r="D5" t="s">
        <v>185</v>
      </c>
    </row>
    <row r="6" spans="1:4" x14ac:dyDescent="0.25">
      <c r="A6" t="s">
        <v>186</v>
      </c>
      <c r="B6" t="s">
        <v>154</v>
      </c>
      <c r="C6" t="s">
        <v>155</v>
      </c>
      <c r="D6" t="s">
        <v>187</v>
      </c>
    </row>
    <row r="7" spans="1:4" x14ac:dyDescent="0.25">
      <c r="A7" t="s">
        <v>188</v>
      </c>
      <c r="B7" t="s">
        <v>160</v>
      </c>
      <c r="C7" t="s">
        <v>161</v>
      </c>
      <c r="D7" t="s">
        <v>189</v>
      </c>
    </row>
    <row r="8" spans="1:4" x14ac:dyDescent="0.25">
      <c r="A8" t="s">
        <v>190</v>
      </c>
      <c r="B8" t="s">
        <v>166</v>
      </c>
      <c r="C8" t="s">
        <v>167</v>
      </c>
      <c r="D8" t="s">
        <v>181</v>
      </c>
    </row>
    <row r="9" spans="1:4" x14ac:dyDescent="0.25">
      <c r="A9" t="s">
        <v>191</v>
      </c>
      <c r="B9" t="s">
        <v>172</v>
      </c>
      <c r="C9" t="s">
        <v>173</v>
      </c>
      <c r="D9" t="s">
        <v>192</v>
      </c>
    </row>
    <row r="10" spans="1:4" x14ac:dyDescent="0.25">
      <c r="A10" t="s">
        <v>193</v>
      </c>
      <c r="B10" t="s">
        <v>194</v>
      </c>
      <c r="C10" t="s">
        <v>195</v>
      </c>
      <c r="D10" t="s">
        <v>196</v>
      </c>
    </row>
    <row r="11" spans="1:4" x14ac:dyDescent="0.25">
      <c r="A11" t="s">
        <v>197</v>
      </c>
      <c r="B11" t="s">
        <v>198</v>
      </c>
      <c r="C11" t="s">
        <v>199</v>
      </c>
      <c r="D11" t="s">
        <v>200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E80FE-4692-4150-94AC-D134E01B9B3D}">
  <dimension ref="A1:G9"/>
  <sheetViews>
    <sheetView workbookViewId="0"/>
  </sheetViews>
  <sheetFormatPr defaultRowHeight="15" x14ac:dyDescent="0.25"/>
  <cols>
    <col min="1" max="1" width="11" bestFit="1" customWidth="1"/>
    <col min="2" max="2" width="32.140625" bestFit="1" customWidth="1"/>
    <col min="3" max="3" width="15.5703125" bestFit="1" customWidth="1"/>
    <col min="4" max="4" width="18.5703125" bestFit="1" customWidth="1"/>
    <col min="5" max="5" width="43.42578125" bestFit="1" customWidth="1"/>
    <col min="6" max="6" width="10.5703125" bestFit="1" customWidth="1"/>
    <col min="7" max="7" width="18.140625" bestFit="1" customWidth="1"/>
  </cols>
  <sheetData>
    <row r="1" spans="1:7" x14ac:dyDescent="0.25">
      <c r="A1" t="s">
        <v>2</v>
      </c>
      <c r="B1" t="s">
        <v>121</v>
      </c>
      <c r="C1" t="s">
        <v>122</v>
      </c>
      <c r="D1" t="s">
        <v>123</v>
      </c>
      <c r="E1" t="s">
        <v>124</v>
      </c>
      <c r="F1" t="s">
        <v>125</v>
      </c>
      <c r="G1" t="s">
        <v>126</v>
      </c>
    </row>
    <row r="2" spans="1:7" x14ac:dyDescent="0.25">
      <c r="A2" t="s">
        <v>10</v>
      </c>
      <c r="B2" t="s">
        <v>127</v>
      </c>
      <c r="C2" t="s">
        <v>128</v>
      </c>
      <c r="D2" t="s">
        <v>129</v>
      </c>
      <c r="E2" t="s">
        <v>130</v>
      </c>
      <c r="F2" t="s">
        <v>131</v>
      </c>
      <c r="G2" t="s">
        <v>132</v>
      </c>
    </row>
    <row r="3" spans="1:7" x14ac:dyDescent="0.25">
      <c r="A3" t="s">
        <v>36</v>
      </c>
      <c r="B3" t="s">
        <v>133</v>
      </c>
      <c r="C3" t="s">
        <v>134</v>
      </c>
      <c r="D3" t="s">
        <v>135</v>
      </c>
      <c r="E3" t="s">
        <v>136</v>
      </c>
      <c r="F3" t="s">
        <v>137</v>
      </c>
      <c r="G3" t="s">
        <v>138</v>
      </c>
    </row>
    <row r="4" spans="1:7" x14ac:dyDescent="0.25">
      <c r="A4" t="s">
        <v>49</v>
      </c>
      <c r="B4" t="s">
        <v>139</v>
      </c>
      <c r="C4" t="s">
        <v>140</v>
      </c>
      <c r="D4" t="s">
        <v>141</v>
      </c>
      <c r="E4" t="s">
        <v>142</v>
      </c>
      <c r="F4" t="s">
        <v>143</v>
      </c>
      <c r="G4" t="s">
        <v>144</v>
      </c>
    </row>
    <row r="5" spans="1:7" x14ac:dyDescent="0.25">
      <c r="A5" t="s">
        <v>61</v>
      </c>
      <c r="B5" t="s">
        <v>145</v>
      </c>
      <c r="C5" t="s">
        <v>146</v>
      </c>
      <c r="D5" t="s">
        <v>147</v>
      </c>
      <c r="E5" t="s">
        <v>148</v>
      </c>
      <c r="F5" t="s">
        <v>149</v>
      </c>
      <c r="G5" t="s">
        <v>150</v>
      </c>
    </row>
    <row r="6" spans="1:7" x14ac:dyDescent="0.25">
      <c r="A6" t="s">
        <v>73</v>
      </c>
      <c r="B6" t="s">
        <v>151</v>
      </c>
      <c r="C6" t="s">
        <v>152</v>
      </c>
      <c r="D6" t="s">
        <v>153</v>
      </c>
      <c r="E6" t="s">
        <v>154</v>
      </c>
      <c r="F6" t="s">
        <v>155</v>
      </c>
      <c r="G6" t="s">
        <v>156</v>
      </c>
    </row>
    <row r="7" spans="1:7" x14ac:dyDescent="0.25">
      <c r="A7" t="s">
        <v>86</v>
      </c>
      <c r="B7" t="s">
        <v>157</v>
      </c>
      <c r="C7" t="s">
        <v>158</v>
      </c>
      <c r="D7" t="s">
        <v>159</v>
      </c>
      <c r="E7" t="s">
        <v>160</v>
      </c>
      <c r="F7" t="s">
        <v>161</v>
      </c>
      <c r="G7" t="s">
        <v>162</v>
      </c>
    </row>
    <row r="8" spans="1:7" x14ac:dyDescent="0.25">
      <c r="A8" t="s">
        <v>100</v>
      </c>
      <c r="B8" t="s">
        <v>163</v>
      </c>
      <c r="C8" t="s">
        <v>164</v>
      </c>
      <c r="D8" t="s">
        <v>165</v>
      </c>
      <c r="E8" t="s">
        <v>166</v>
      </c>
      <c r="F8" t="s">
        <v>167</v>
      </c>
      <c r="G8" t="s">
        <v>168</v>
      </c>
    </row>
    <row r="9" spans="1:7" x14ac:dyDescent="0.25">
      <c r="A9" t="s">
        <v>113</v>
      </c>
      <c r="B9" t="s">
        <v>169</v>
      </c>
      <c r="C9" t="s">
        <v>170</v>
      </c>
      <c r="D9" t="s">
        <v>171</v>
      </c>
      <c r="E9" t="s">
        <v>172</v>
      </c>
      <c r="F9" t="s">
        <v>173</v>
      </c>
      <c r="G9" t="s">
        <v>174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FE1F4-9832-4347-AA30-3DD24C3B2D0F}">
  <dimension ref="A1:H34"/>
  <sheetViews>
    <sheetView workbookViewId="0"/>
  </sheetViews>
  <sheetFormatPr defaultRowHeight="15" x14ac:dyDescent="0.25"/>
  <cols>
    <col min="1" max="1" width="11.7109375" bestFit="1" customWidth="1"/>
    <col min="2" max="2" width="20" bestFit="1" customWidth="1"/>
    <col min="3" max="3" width="11" bestFit="1" customWidth="1"/>
    <col min="4" max="4" width="13.5703125" bestFit="1" customWidth="1"/>
    <col min="5" max="5" width="14.5703125" bestFit="1" customWidth="1"/>
    <col min="6" max="6" width="6.7109375" bestFit="1" customWidth="1"/>
    <col min="7" max="7" width="15" bestFit="1" customWidth="1"/>
    <col min="8" max="8" width="22.28515625" bestFit="1" customWidth="1"/>
  </cols>
  <sheetData>
    <row r="1" spans="1:8" x14ac:dyDescent="0.25">
      <c r="A1" t="s">
        <v>0</v>
      </c>
      <c r="B1" t="s">
        <v>1</v>
      </c>
      <c r="C1" t="s">
        <v>2</v>
      </c>
      <c r="D1" t="s">
        <v>3</v>
      </c>
      <c r="E1" t="s">
        <v>4</v>
      </c>
      <c r="F1" t="s">
        <v>5</v>
      </c>
      <c r="G1" t="s">
        <v>6</v>
      </c>
      <c r="H1" t="s">
        <v>7</v>
      </c>
    </row>
    <row r="2" spans="1:8" x14ac:dyDescent="0.25">
      <c r="A2" t="s">
        <v>8</v>
      </c>
      <c r="B2" t="s">
        <v>9</v>
      </c>
      <c r="C2" t="s">
        <v>10</v>
      </c>
      <c r="D2" t="s">
        <v>11</v>
      </c>
      <c r="E2" t="s">
        <v>12</v>
      </c>
      <c r="F2" t="s">
        <v>13</v>
      </c>
      <c r="G2" t="s">
        <v>14</v>
      </c>
      <c r="H2" t="s">
        <v>15</v>
      </c>
    </row>
    <row r="3" spans="1:8" x14ac:dyDescent="0.25">
      <c r="A3" t="s">
        <v>16</v>
      </c>
      <c r="B3" t="s">
        <v>17</v>
      </c>
      <c r="C3" t="s">
        <v>10</v>
      </c>
      <c r="D3" t="s">
        <v>18</v>
      </c>
      <c r="E3" t="s">
        <v>12</v>
      </c>
      <c r="F3" t="s">
        <v>19</v>
      </c>
      <c r="G3" t="s">
        <v>14</v>
      </c>
      <c r="H3" t="s">
        <v>20</v>
      </c>
    </row>
    <row r="4" spans="1:8" x14ac:dyDescent="0.25">
      <c r="A4" t="s">
        <v>21</v>
      </c>
      <c r="B4" t="s">
        <v>22</v>
      </c>
      <c r="C4" t="s">
        <v>10</v>
      </c>
      <c r="D4" t="s">
        <v>23</v>
      </c>
      <c r="E4" t="s">
        <v>12</v>
      </c>
      <c r="F4" t="s">
        <v>24</v>
      </c>
      <c r="G4" t="s">
        <v>25</v>
      </c>
      <c r="H4" t="s">
        <v>26</v>
      </c>
    </row>
    <row r="5" spans="1:8" x14ac:dyDescent="0.25">
      <c r="A5" t="s">
        <v>27</v>
      </c>
      <c r="B5" t="s">
        <v>28</v>
      </c>
      <c r="C5" t="s">
        <v>10</v>
      </c>
      <c r="D5" t="s">
        <v>29</v>
      </c>
      <c r="E5" t="s">
        <v>12</v>
      </c>
      <c r="F5" t="s">
        <v>30</v>
      </c>
      <c r="G5" t="s">
        <v>25</v>
      </c>
      <c r="H5" t="s">
        <v>15</v>
      </c>
    </row>
    <row r="6" spans="1:8" x14ac:dyDescent="0.25">
      <c r="A6" t="s">
        <v>31</v>
      </c>
      <c r="B6" t="s">
        <v>32</v>
      </c>
      <c r="C6" t="s">
        <v>10</v>
      </c>
      <c r="D6" t="s">
        <v>29</v>
      </c>
      <c r="E6" t="s">
        <v>12</v>
      </c>
      <c r="F6" t="s">
        <v>19</v>
      </c>
      <c r="G6" t="s">
        <v>14</v>
      </c>
      <c r="H6" t="s">
        <v>33</v>
      </c>
    </row>
    <row r="7" spans="1:8" x14ac:dyDescent="0.25">
      <c r="A7" t="s">
        <v>34</v>
      </c>
      <c r="B7" t="s">
        <v>35</v>
      </c>
      <c r="C7" t="s">
        <v>36</v>
      </c>
      <c r="D7" t="s">
        <v>29</v>
      </c>
      <c r="E7" t="s">
        <v>12</v>
      </c>
      <c r="F7" t="s">
        <v>19</v>
      </c>
      <c r="G7" t="s">
        <v>25</v>
      </c>
      <c r="H7" t="s">
        <v>33</v>
      </c>
    </row>
    <row r="8" spans="1:8" x14ac:dyDescent="0.25">
      <c r="A8" t="s">
        <v>37</v>
      </c>
      <c r="B8" t="s">
        <v>38</v>
      </c>
      <c r="C8" t="s">
        <v>36</v>
      </c>
      <c r="D8" t="s">
        <v>18</v>
      </c>
      <c r="E8" t="s">
        <v>12</v>
      </c>
      <c r="F8" t="s">
        <v>39</v>
      </c>
      <c r="G8" t="s">
        <v>14</v>
      </c>
      <c r="H8" t="s">
        <v>40</v>
      </c>
    </row>
    <row r="9" spans="1:8" x14ac:dyDescent="0.25">
      <c r="A9" t="s">
        <v>41</v>
      </c>
      <c r="B9" t="s">
        <v>42</v>
      </c>
      <c r="C9" t="s">
        <v>36</v>
      </c>
      <c r="D9" t="s">
        <v>29</v>
      </c>
      <c r="E9" t="s">
        <v>43</v>
      </c>
      <c r="F9" t="s">
        <v>13</v>
      </c>
      <c r="G9" t="s">
        <v>14</v>
      </c>
      <c r="H9" t="s">
        <v>33</v>
      </c>
    </row>
    <row r="10" spans="1:8" x14ac:dyDescent="0.25">
      <c r="A10" t="s">
        <v>44</v>
      </c>
      <c r="B10" t="s">
        <v>45</v>
      </c>
      <c r="C10" t="s">
        <v>36</v>
      </c>
      <c r="D10" t="s">
        <v>18</v>
      </c>
      <c r="E10" t="s">
        <v>46</v>
      </c>
      <c r="F10" t="s">
        <v>30</v>
      </c>
      <c r="G10" t="s">
        <v>14</v>
      </c>
      <c r="H10" t="s">
        <v>20</v>
      </c>
    </row>
    <row r="11" spans="1:8" x14ac:dyDescent="0.25">
      <c r="A11" t="s">
        <v>47</v>
      </c>
      <c r="B11" t="s">
        <v>48</v>
      </c>
      <c r="C11" t="s">
        <v>49</v>
      </c>
      <c r="D11" t="s">
        <v>11</v>
      </c>
      <c r="E11" t="s">
        <v>12</v>
      </c>
      <c r="F11" t="s">
        <v>50</v>
      </c>
      <c r="G11" t="s">
        <v>14</v>
      </c>
      <c r="H11" t="s">
        <v>33</v>
      </c>
    </row>
    <row r="12" spans="1:8" x14ac:dyDescent="0.25">
      <c r="A12" t="s">
        <v>51</v>
      </c>
      <c r="B12" t="s">
        <v>52</v>
      </c>
      <c r="C12" t="s">
        <v>49</v>
      </c>
      <c r="D12" t="s">
        <v>18</v>
      </c>
      <c r="E12" t="s">
        <v>12</v>
      </c>
      <c r="F12" t="s">
        <v>19</v>
      </c>
      <c r="G12" t="s">
        <v>14</v>
      </c>
      <c r="H12" t="s">
        <v>20</v>
      </c>
    </row>
    <row r="13" spans="1:8" x14ac:dyDescent="0.25">
      <c r="A13" t="s">
        <v>53</v>
      </c>
      <c r="B13" t="s">
        <v>54</v>
      </c>
      <c r="C13" t="s">
        <v>49</v>
      </c>
      <c r="D13" t="s">
        <v>29</v>
      </c>
      <c r="E13" t="s">
        <v>55</v>
      </c>
      <c r="F13" t="s">
        <v>50</v>
      </c>
      <c r="G13" t="s">
        <v>14</v>
      </c>
      <c r="H13" t="s">
        <v>15</v>
      </c>
    </row>
    <row r="14" spans="1:8" x14ac:dyDescent="0.25">
      <c r="A14" t="s">
        <v>56</v>
      </c>
      <c r="B14" t="s">
        <v>57</v>
      </c>
      <c r="C14" t="s">
        <v>49</v>
      </c>
      <c r="D14" t="s">
        <v>23</v>
      </c>
      <c r="E14" t="s">
        <v>12</v>
      </c>
      <c r="F14" t="s">
        <v>58</v>
      </c>
      <c r="G14" t="s">
        <v>14</v>
      </c>
      <c r="H14" t="s">
        <v>26</v>
      </c>
    </row>
    <row r="15" spans="1:8" x14ac:dyDescent="0.25">
      <c r="A15" t="s">
        <v>59</v>
      </c>
      <c r="B15" t="s">
        <v>60</v>
      </c>
      <c r="C15" t="s">
        <v>61</v>
      </c>
      <c r="D15" t="s">
        <v>11</v>
      </c>
      <c r="E15" t="s">
        <v>12</v>
      </c>
      <c r="F15" t="s">
        <v>62</v>
      </c>
      <c r="G15" t="s">
        <v>25</v>
      </c>
      <c r="H15" t="s">
        <v>15</v>
      </c>
    </row>
    <row r="16" spans="1:8" x14ac:dyDescent="0.25">
      <c r="A16" t="s">
        <v>63</v>
      </c>
      <c r="B16" t="s">
        <v>64</v>
      </c>
      <c r="C16" t="s">
        <v>61</v>
      </c>
      <c r="D16" t="s">
        <v>29</v>
      </c>
      <c r="E16" t="s">
        <v>65</v>
      </c>
      <c r="F16" t="s">
        <v>50</v>
      </c>
      <c r="G16" t="s">
        <v>14</v>
      </c>
      <c r="H16" t="s">
        <v>20</v>
      </c>
    </row>
    <row r="17" spans="1:8" x14ac:dyDescent="0.25">
      <c r="A17" t="s">
        <v>66</v>
      </c>
      <c r="B17" t="s">
        <v>67</v>
      </c>
      <c r="C17" t="s">
        <v>61</v>
      </c>
      <c r="D17" t="s">
        <v>29</v>
      </c>
      <c r="E17" t="s">
        <v>65</v>
      </c>
      <c r="F17" t="s">
        <v>50</v>
      </c>
      <c r="G17" t="s">
        <v>25</v>
      </c>
      <c r="H17" t="s">
        <v>15</v>
      </c>
    </row>
    <row r="18" spans="1:8" x14ac:dyDescent="0.25">
      <c r="A18" t="s">
        <v>68</v>
      </c>
      <c r="B18" t="s">
        <v>69</v>
      </c>
      <c r="C18" t="s">
        <v>61</v>
      </c>
      <c r="D18" t="s">
        <v>18</v>
      </c>
      <c r="E18" t="s">
        <v>12</v>
      </c>
      <c r="F18" t="s">
        <v>13</v>
      </c>
      <c r="G18" t="s">
        <v>14</v>
      </c>
      <c r="H18" t="s">
        <v>70</v>
      </c>
    </row>
    <row r="19" spans="1:8" x14ac:dyDescent="0.25">
      <c r="A19" t="s">
        <v>71</v>
      </c>
      <c r="B19" t="s">
        <v>72</v>
      </c>
      <c r="C19" t="s">
        <v>73</v>
      </c>
      <c r="D19" t="s">
        <v>11</v>
      </c>
      <c r="E19" t="s">
        <v>55</v>
      </c>
      <c r="F19" t="s">
        <v>74</v>
      </c>
      <c r="G19" t="s">
        <v>25</v>
      </c>
      <c r="H19" t="s">
        <v>70</v>
      </c>
    </row>
    <row r="20" spans="1:8" x14ac:dyDescent="0.25">
      <c r="A20" t="s">
        <v>75</v>
      </c>
      <c r="B20" t="s">
        <v>76</v>
      </c>
      <c r="C20" t="s">
        <v>73</v>
      </c>
      <c r="D20" t="s">
        <v>18</v>
      </c>
      <c r="E20" t="s">
        <v>12</v>
      </c>
      <c r="F20" t="s">
        <v>77</v>
      </c>
      <c r="G20" t="s">
        <v>25</v>
      </c>
      <c r="H20" t="s">
        <v>78</v>
      </c>
    </row>
    <row r="21" spans="1:8" x14ac:dyDescent="0.25">
      <c r="A21" t="s">
        <v>79</v>
      </c>
      <c r="B21" t="s">
        <v>80</v>
      </c>
      <c r="C21" t="s">
        <v>73</v>
      </c>
      <c r="D21" t="s">
        <v>29</v>
      </c>
      <c r="E21" t="s">
        <v>55</v>
      </c>
      <c r="F21" t="s">
        <v>13</v>
      </c>
      <c r="G21" t="s">
        <v>14</v>
      </c>
      <c r="H21" t="s">
        <v>33</v>
      </c>
    </row>
    <row r="22" spans="1:8" x14ac:dyDescent="0.25">
      <c r="A22" t="s">
        <v>81</v>
      </c>
      <c r="B22" t="s">
        <v>82</v>
      </c>
      <c r="C22" t="s">
        <v>73</v>
      </c>
      <c r="D22" t="s">
        <v>29</v>
      </c>
      <c r="E22" t="s">
        <v>12</v>
      </c>
      <c r="F22" t="s">
        <v>19</v>
      </c>
      <c r="G22" t="s">
        <v>25</v>
      </c>
      <c r="H22" t="s">
        <v>83</v>
      </c>
    </row>
    <row r="23" spans="1:8" x14ac:dyDescent="0.25">
      <c r="A23" t="s">
        <v>84</v>
      </c>
      <c r="B23" t="s">
        <v>85</v>
      </c>
      <c r="C23" t="s">
        <v>86</v>
      </c>
      <c r="D23" t="s">
        <v>23</v>
      </c>
      <c r="E23" t="s">
        <v>87</v>
      </c>
      <c r="F23" t="s">
        <v>88</v>
      </c>
      <c r="G23" t="s">
        <v>14</v>
      </c>
      <c r="H23" t="s">
        <v>26</v>
      </c>
    </row>
    <row r="24" spans="1:8" x14ac:dyDescent="0.25">
      <c r="A24" t="s">
        <v>89</v>
      </c>
      <c r="B24" t="s">
        <v>90</v>
      </c>
      <c r="C24" t="s">
        <v>86</v>
      </c>
      <c r="D24" t="s">
        <v>18</v>
      </c>
      <c r="E24" t="s">
        <v>12</v>
      </c>
      <c r="F24" t="s">
        <v>88</v>
      </c>
      <c r="G24" t="s">
        <v>14</v>
      </c>
      <c r="H24" t="s">
        <v>70</v>
      </c>
    </row>
    <row r="25" spans="1:8" x14ac:dyDescent="0.25">
      <c r="A25" t="s">
        <v>91</v>
      </c>
      <c r="B25" t="s">
        <v>92</v>
      </c>
      <c r="C25" t="s">
        <v>86</v>
      </c>
      <c r="D25" t="s">
        <v>18</v>
      </c>
      <c r="E25" t="s">
        <v>43</v>
      </c>
      <c r="F25" t="s">
        <v>93</v>
      </c>
      <c r="G25" t="s">
        <v>25</v>
      </c>
      <c r="H25" t="s">
        <v>94</v>
      </c>
    </row>
    <row r="26" spans="1:8" x14ac:dyDescent="0.25">
      <c r="A26" t="s">
        <v>95</v>
      </c>
      <c r="B26" t="s">
        <v>96</v>
      </c>
      <c r="C26" t="s">
        <v>86</v>
      </c>
      <c r="D26" t="s">
        <v>11</v>
      </c>
      <c r="E26" t="s">
        <v>12</v>
      </c>
      <c r="F26" t="s">
        <v>97</v>
      </c>
      <c r="G26" t="s">
        <v>25</v>
      </c>
      <c r="H26" t="s">
        <v>70</v>
      </c>
    </row>
    <row r="27" spans="1:8" x14ac:dyDescent="0.25">
      <c r="A27" t="s">
        <v>98</v>
      </c>
      <c r="B27" t="s">
        <v>99</v>
      </c>
      <c r="C27" t="s">
        <v>100</v>
      </c>
      <c r="D27" t="s">
        <v>29</v>
      </c>
      <c r="E27" t="s">
        <v>87</v>
      </c>
      <c r="F27" t="s">
        <v>19</v>
      </c>
      <c r="G27" t="s">
        <v>14</v>
      </c>
      <c r="H27" t="s">
        <v>70</v>
      </c>
    </row>
    <row r="28" spans="1:8" x14ac:dyDescent="0.25">
      <c r="A28" t="s">
        <v>101</v>
      </c>
      <c r="B28" t="s">
        <v>102</v>
      </c>
      <c r="C28" t="s">
        <v>100</v>
      </c>
      <c r="D28" t="s">
        <v>18</v>
      </c>
      <c r="E28" t="s">
        <v>12</v>
      </c>
      <c r="F28" t="s">
        <v>103</v>
      </c>
      <c r="G28" t="s">
        <v>25</v>
      </c>
      <c r="H28" t="s">
        <v>104</v>
      </c>
    </row>
    <row r="29" spans="1:8" x14ac:dyDescent="0.25">
      <c r="A29" t="s">
        <v>105</v>
      </c>
      <c r="B29" t="s">
        <v>106</v>
      </c>
      <c r="C29" t="s">
        <v>100</v>
      </c>
      <c r="D29" t="s">
        <v>23</v>
      </c>
      <c r="E29" t="s">
        <v>12</v>
      </c>
      <c r="F29" t="s">
        <v>19</v>
      </c>
      <c r="G29" t="s">
        <v>14</v>
      </c>
      <c r="H29" t="s">
        <v>26</v>
      </c>
    </row>
    <row r="30" spans="1:8" x14ac:dyDescent="0.25">
      <c r="A30" t="s">
        <v>107</v>
      </c>
      <c r="B30" t="s">
        <v>108</v>
      </c>
      <c r="C30" t="s">
        <v>100</v>
      </c>
      <c r="D30" t="s">
        <v>18</v>
      </c>
      <c r="E30" t="s">
        <v>109</v>
      </c>
      <c r="F30" t="s">
        <v>110</v>
      </c>
      <c r="G30" t="s">
        <v>14</v>
      </c>
      <c r="H30" t="s">
        <v>20</v>
      </c>
    </row>
    <row r="31" spans="1:8" x14ac:dyDescent="0.25">
      <c r="A31" t="s">
        <v>111</v>
      </c>
      <c r="B31" t="s">
        <v>112</v>
      </c>
      <c r="C31" t="s">
        <v>113</v>
      </c>
      <c r="D31" t="s">
        <v>11</v>
      </c>
      <c r="E31" t="s">
        <v>12</v>
      </c>
      <c r="F31" t="s">
        <v>114</v>
      </c>
      <c r="G31" t="s">
        <v>25</v>
      </c>
      <c r="H31" t="s">
        <v>83</v>
      </c>
    </row>
    <row r="32" spans="1:8" x14ac:dyDescent="0.25">
      <c r="A32" t="s">
        <v>115</v>
      </c>
      <c r="B32" t="s">
        <v>116</v>
      </c>
      <c r="C32" t="s">
        <v>113</v>
      </c>
      <c r="D32" t="s">
        <v>18</v>
      </c>
      <c r="E32" t="s">
        <v>12</v>
      </c>
      <c r="F32" t="s">
        <v>93</v>
      </c>
      <c r="G32" t="s">
        <v>14</v>
      </c>
      <c r="H32" t="s">
        <v>33</v>
      </c>
    </row>
    <row r="33" spans="1:8" x14ac:dyDescent="0.25">
      <c r="A33" t="s">
        <v>117</v>
      </c>
      <c r="B33" t="s">
        <v>118</v>
      </c>
      <c r="C33" t="s">
        <v>113</v>
      </c>
      <c r="D33" t="s">
        <v>23</v>
      </c>
      <c r="E33" t="s">
        <v>109</v>
      </c>
      <c r="F33" t="s">
        <v>13</v>
      </c>
      <c r="G33" t="s">
        <v>14</v>
      </c>
      <c r="H33" t="s">
        <v>15</v>
      </c>
    </row>
    <row r="34" spans="1:8" x14ac:dyDescent="0.25">
      <c r="A34" t="s">
        <v>119</v>
      </c>
      <c r="B34" t="s">
        <v>120</v>
      </c>
      <c r="C34" t="s">
        <v>113</v>
      </c>
      <c r="D34" t="s">
        <v>11</v>
      </c>
      <c r="E34" t="s">
        <v>55</v>
      </c>
      <c r="F34" t="s">
        <v>19</v>
      </c>
      <c r="G34" t="s">
        <v>25</v>
      </c>
      <c r="H34" t="s">
        <v>15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DD3F8A3A-0D71-418B-8124-5797CBC5580E}">
  <ds:schemaRefs/>
</ds:datastoreItem>
</file>

<file path=customXml/itemProps2.xml><?xml version="1.0" encoding="utf-8"?>
<ds:datastoreItem xmlns:ds="http://schemas.openxmlformats.org/officeDocument/2006/customXml" ds:itemID="{32D0367D-E62B-421B-97FB-7DD75415D843}">
  <ds:schemaRefs/>
</ds:datastoreItem>
</file>

<file path=customXml/itemProps3.xml><?xml version="1.0" encoding="utf-8"?>
<ds:datastoreItem xmlns:ds="http://schemas.openxmlformats.org/officeDocument/2006/customXml" ds:itemID="{1B496A4C-F35E-4A7D-B5A6-E62AA6A45450}">
  <ds:schemaRefs/>
</ds:datastoreItem>
</file>

<file path=customXml/itemProps4.xml><?xml version="1.0" encoding="utf-8"?>
<ds:datastoreItem xmlns:ds="http://schemas.openxmlformats.org/officeDocument/2006/customXml" ds:itemID="{B26E18EF-9EC1-4876-9064-32743517C835}">
  <ds:schemaRefs/>
</ds:datastoreItem>
</file>

<file path=customXml/itemProps5.xml><?xml version="1.0" encoding="utf-8"?>
<ds:datastoreItem xmlns:ds="http://schemas.openxmlformats.org/officeDocument/2006/customXml" ds:itemID="{76D772CA-A2B8-4865-94CE-81CAB7376B89}">
  <ds:schemaRefs/>
</ds:datastoreItem>
</file>

<file path=customXml/itemProps6.xml><?xml version="1.0" encoding="utf-8"?>
<ds:datastoreItem xmlns:ds="http://schemas.openxmlformats.org/officeDocument/2006/customXml" ds:itemID="{BBE4468A-18E1-4C17-AAFF-B3EFB2AAF005}">
  <ds:schemaRefs/>
</ds:datastoreItem>
</file>

<file path=customXml/itemProps7.xml><?xml version="1.0" encoding="utf-8"?>
<ds:datastoreItem xmlns:ds="http://schemas.openxmlformats.org/officeDocument/2006/customXml" ds:itemID="{E9CACEFD-8B5E-4C92-A8CD-FD7E7F0CCD39}">
  <ds:schemaRefs/>
</ds:datastoreItem>
</file>

<file path=customXml/itemProps8.xml><?xml version="1.0" encoding="utf-8"?>
<ds:datastoreItem xmlns:ds="http://schemas.openxmlformats.org/officeDocument/2006/customXml" ds:itemID="{A1A1BF90-902F-47D6-AB1E-6F94BD4C72EC}">
  <ds:schemaRefs/>
</ds:datastoreItem>
</file>

<file path=customXml/itemProps9.xml><?xml version="1.0" encoding="utf-8"?>
<ds:datastoreItem xmlns:ds="http://schemas.openxmlformats.org/officeDocument/2006/customXml" ds:itemID="{DA234A24-8284-443C-8152-5F212D049D4D}">
  <ds:schemaRefs/>
</ds:datastoreItem>
</file>

<file path=customXml/itemProps10.xml><?xml version="1.0" encoding="utf-8"?>
<ds:datastoreItem xmlns:ds="http://schemas.openxmlformats.org/officeDocument/2006/customXml" ds:itemID="{D7001C2F-2C7C-4348-9FF2-325455C91D22}">
  <ds:schemaRefs/>
</ds:datastoreItem>
</file>

<file path=customXml/itemProps11.xml><?xml version="1.0" encoding="utf-8"?>
<ds:datastoreItem xmlns:ds="http://schemas.openxmlformats.org/officeDocument/2006/customXml" ds:itemID="{B51C8A5F-AA3C-4CEC-8305-C0CBDD604137}">
  <ds:schemaRefs/>
</ds:datastoreItem>
</file>

<file path=customXml/itemProps12.xml><?xml version="1.0" encoding="utf-8"?>
<ds:datastoreItem xmlns:ds="http://schemas.openxmlformats.org/officeDocument/2006/customXml" ds:itemID="{3A71488C-4BAC-4D9E-9479-90BD43693432}">
  <ds:schemaRefs/>
</ds:datastoreItem>
</file>

<file path=customXml/itemProps13.xml><?xml version="1.0" encoding="utf-8"?>
<ds:datastoreItem xmlns:ds="http://schemas.openxmlformats.org/officeDocument/2006/customXml" ds:itemID="{E45077C0-D94F-40E4-9897-3C33CA57D07F}">
  <ds:schemaRefs/>
</ds:datastoreItem>
</file>

<file path=customXml/itemProps14.xml><?xml version="1.0" encoding="utf-8"?>
<ds:datastoreItem xmlns:ds="http://schemas.openxmlformats.org/officeDocument/2006/customXml" ds:itemID="{8706806E-80DA-40E8-850F-85B36125BEAB}">
  <ds:schemaRefs/>
</ds:datastoreItem>
</file>

<file path=customXml/itemProps15.xml><?xml version="1.0" encoding="utf-8"?>
<ds:datastoreItem xmlns:ds="http://schemas.openxmlformats.org/officeDocument/2006/customXml" ds:itemID="{9E3F65D3-CF47-4702-B7DA-03FB4665A88D}">
  <ds:schemaRefs/>
</ds:datastoreItem>
</file>

<file path=customXml/itemProps16.xml><?xml version="1.0" encoding="utf-8"?>
<ds:datastoreItem xmlns:ds="http://schemas.openxmlformats.org/officeDocument/2006/customXml" ds:itemID="{966D2398-E530-40F0-B619-62E074930C8E}">
  <ds:schemaRefs/>
</ds:datastoreItem>
</file>

<file path=customXml/itemProps17.xml><?xml version="1.0" encoding="utf-8"?>
<ds:datastoreItem xmlns:ds="http://schemas.openxmlformats.org/officeDocument/2006/customXml" ds:itemID="{3F1B986B-EA16-4ED4-A023-0917A5FE9BAF}">
  <ds:schemaRefs/>
</ds:datastoreItem>
</file>

<file path=customXml/itemProps18.xml><?xml version="1.0" encoding="utf-8"?>
<ds:datastoreItem xmlns:ds="http://schemas.openxmlformats.org/officeDocument/2006/customXml" ds:itemID="{11C86E17-FE56-493D-A2E7-5D1DA78673C2}">
  <ds:schemaRefs/>
</ds:datastoreItem>
</file>

<file path=customXml/itemProps19.xml><?xml version="1.0" encoding="utf-8"?>
<ds:datastoreItem xmlns:ds="http://schemas.openxmlformats.org/officeDocument/2006/customXml" ds:itemID="{DA5CA9C0-6BD9-43B7-833E-469617B32FC6}">
  <ds:schemaRefs/>
</ds:datastoreItem>
</file>

<file path=customXml/itemProps20.xml><?xml version="1.0" encoding="utf-8"?>
<ds:datastoreItem xmlns:ds="http://schemas.openxmlformats.org/officeDocument/2006/customXml" ds:itemID="{6F3C4714-2B12-471B-AB34-DEBB4712DF42}">
  <ds:schemaRefs/>
</ds:datastoreItem>
</file>

<file path=customXml/itemProps21.xml><?xml version="1.0" encoding="utf-8"?>
<ds:datastoreItem xmlns:ds="http://schemas.openxmlformats.org/officeDocument/2006/customXml" ds:itemID="{B65C46E8-89A4-47A7-A4D0-4E67A0A011D6}">
  <ds:schemaRefs/>
</ds:datastoreItem>
</file>

<file path=customXml/itemProps22.xml><?xml version="1.0" encoding="utf-8"?>
<ds:datastoreItem xmlns:ds="http://schemas.openxmlformats.org/officeDocument/2006/customXml" ds:itemID="{FC633B08-8639-472A-A02B-B27D7A5926E8}">
  <ds:schemaRefs/>
</ds:datastoreItem>
</file>

<file path=customXml/itemProps23.xml><?xml version="1.0" encoding="utf-8"?>
<ds:datastoreItem xmlns:ds="http://schemas.openxmlformats.org/officeDocument/2006/customXml" ds:itemID="{3FC32AA7-EE85-4B31-8A5F-3B64D36F7546}">
  <ds:schemaRefs/>
</ds:datastoreItem>
</file>

<file path=customXml/itemProps24.xml><?xml version="1.0" encoding="utf-8"?>
<ds:datastoreItem xmlns:ds="http://schemas.openxmlformats.org/officeDocument/2006/customXml" ds:itemID="{435C28F1-1A9D-416C-97EC-BFABBCD237C3}">
  <ds:schemaRefs/>
</ds:datastoreItem>
</file>

<file path=customXml/itemProps25.xml><?xml version="1.0" encoding="utf-8"?>
<ds:datastoreItem xmlns:ds="http://schemas.openxmlformats.org/officeDocument/2006/customXml" ds:itemID="{F47D1609-1186-4C12-83E6-21146EB6EE61}">
  <ds:schemaRefs/>
</ds:datastoreItem>
</file>

<file path=customXml/itemProps26.xml><?xml version="1.0" encoding="utf-8"?>
<ds:datastoreItem xmlns:ds="http://schemas.openxmlformats.org/officeDocument/2006/customXml" ds:itemID="{9F869F31-B7F1-466B-B652-2EC5E96A8308}">
  <ds:schemaRefs/>
</ds:datastoreItem>
</file>

<file path=customXml/itemProps27.xml><?xml version="1.0" encoding="utf-8"?>
<ds:datastoreItem xmlns:ds="http://schemas.openxmlformats.org/officeDocument/2006/customXml" ds:itemID="{AB85FE8A-D243-4BF2-B1CC-82C8012E17EC}">
  <ds:schemaRefs/>
</ds:datastoreItem>
</file>

<file path=customXml/itemProps28.xml><?xml version="1.0" encoding="utf-8"?>
<ds:datastoreItem xmlns:ds="http://schemas.openxmlformats.org/officeDocument/2006/customXml" ds:itemID="{D531E495-D3C2-4475-89C6-CA7D6B0D9BBE}">
  <ds:schemaRefs/>
</ds:datastoreItem>
</file>

<file path=customXml/itemProps29.xml><?xml version="1.0" encoding="utf-8"?>
<ds:datastoreItem xmlns:ds="http://schemas.openxmlformats.org/officeDocument/2006/customXml" ds:itemID="{809C948F-D4B6-47FF-80EB-1CF0D2151295}">
  <ds:schemaRefs/>
</ds:datastoreItem>
</file>

<file path=customXml/itemProps30.xml><?xml version="1.0" encoding="utf-8"?>
<ds:datastoreItem xmlns:ds="http://schemas.openxmlformats.org/officeDocument/2006/customXml" ds:itemID="{4E9D6775-7752-4E5A-9C69-8D14724979C2}">
  <ds:schemaRefs/>
</ds:datastoreItem>
</file>

<file path=customXml/itemProps31.xml><?xml version="1.0" encoding="utf-8"?>
<ds:datastoreItem xmlns:ds="http://schemas.openxmlformats.org/officeDocument/2006/customXml" ds:itemID="{203D22D6-D5B0-4173-B582-B0198C678D9B}">
  <ds:schemaRefs/>
</ds:datastoreItem>
</file>

<file path=customXml/itemProps32.xml><?xml version="1.0" encoding="utf-8"?>
<ds:datastoreItem xmlns:ds="http://schemas.openxmlformats.org/officeDocument/2006/customXml" ds:itemID="{7118E30B-AD4C-4BB2-AA70-43B20709C151}">
  <ds:schemaRefs/>
</ds:datastoreItem>
</file>

<file path=customXml/itemProps33.xml><?xml version="1.0" encoding="utf-8"?>
<ds:datastoreItem xmlns:ds="http://schemas.openxmlformats.org/officeDocument/2006/customXml" ds:itemID="{3D8098BA-B95A-4E5C-AB9C-E90D0796D7B6}">
  <ds:schemaRefs/>
</ds:datastoreItem>
</file>

<file path=customXml/itemProps34.xml><?xml version="1.0" encoding="utf-8"?>
<ds:datastoreItem xmlns:ds="http://schemas.openxmlformats.org/officeDocument/2006/customXml" ds:itemID="{D7CAB0FD-D0CA-4CDC-A752-34E0ECDEE7DB}">
  <ds:schemaRefs/>
</ds:datastoreItem>
</file>

<file path=customXml/itemProps35.xml><?xml version="1.0" encoding="utf-8"?>
<ds:datastoreItem xmlns:ds="http://schemas.openxmlformats.org/officeDocument/2006/customXml" ds:itemID="{46E0A0FC-1835-48C5-97E5-10B9F7235108}">
  <ds:schemaRefs/>
</ds:datastoreItem>
</file>

<file path=customXml/itemProps36.xml><?xml version="1.0" encoding="utf-8"?>
<ds:datastoreItem xmlns:ds="http://schemas.openxmlformats.org/officeDocument/2006/customXml" ds:itemID="{01BE3AAF-3ED3-41C7-9E47-D82C4E489AFC}">
  <ds:schemaRefs/>
</ds:datastoreItem>
</file>

<file path=customXml/itemProps37.xml><?xml version="1.0" encoding="utf-8"?>
<ds:datastoreItem xmlns:ds="http://schemas.openxmlformats.org/officeDocument/2006/customXml" ds:itemID="{44845C0B-5996-4116-9E00-A7043205F3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fact_player</vt:lpstr>
      <vt:lpstr>Team_Summary</vt:lpstr>
      <vt:lpstr>Plater_Summary</vt:lpstr>
      <vt:lpstr>Player Performance Dashborad </vt:lpstr>
      <vt:lpstr>Team Performance Dashborad</vt:lpstr>
      <vt:lpstr>fact_match</vt:lpstr>
      <vt:lpstr>dim_venue</vt:lpstr>
      <vt:lpstr>dim_team</vt:lpstr>
      <vt:lpstr>dim_player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 choudhary</dc:creator>
  <cp:lastModifiedBy>nisha choudhary</cp:lastModifiedBy>
  <dcterms:created xsi:type="dcterms:W3CDTF">2026-04-27T15:06:45Z</dcterms:created>
  <dcterms:modified xsi:type="dcterms:W3CDTF">2026-04-30T05:20:45Z</dcterms:modified>
</cp:coreProperties>
</file>